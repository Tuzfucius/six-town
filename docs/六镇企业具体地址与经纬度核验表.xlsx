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26" windowHeight="14964"/>
  </bookViews>
  <sheets>
    <sheet name="企业地址坐标" sheetId="1" r:id="rId1"/>
    <sheet name="小镇汇总" sheetId="2" r:id="rId2"/>
    <sheet name="核验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<sst xmlns="http://schemas.openxmlformats.org/spreadsheetml/2006/main" count="574" uniqueCount="383">
  <si>
    <t>六镇代表企业具体地址与WGS84经纬度核验表</t>
  </si>
  <si>
    <t>说明：地址优先采用企业官网、工商公开信息、监管/环评文件；坐标为公开地址人工定位或坐标系换算所得的第一版WGS84点位，不属于测绘级成果。发布GIS前应使用高德/天地图地理编码API批量复核。</t>
  </si>
  <si>
    <t>企业ID</t>
  </si>
  <si>
    <t>所属小镇（原计划）</t>
  </si>
  <si>
    <t>原企业/主体</t>
  </si>
  <si>
    <t>核验后企业主体</t>
  </si>
  <si>
    <t>联系标识</t>
  </si>
  <si>
    <t>产业方向（核验后）</t>
  </si>
  <si>
    <t>具体地址</t>
  </si>
  <si>
    <t>地址类型</t>
  </si>
  <si>
    <t>小镇归属判断</t>
  </si>
  <si>
    <t>经度_WGS84</t>
  </si>
  <si>
    <t>纬度_WGS84</t>
  </si>
  <si>
    <t>坐标精度</t>
  </si>
  <si>
    <t>坐标获取方式</t>
  </si>
  <si>
    <t>地址核验状态</t>
  </si>
  <si>
    <t>坐标核验状态</t>
  </si>
  <si>
    <t>主要来源URL</t>
  </si>
  <si>
    <t>备用来源URL</t>
  </si>
  <si>
    <t>核验备注</t>
  </si>
  <si>
    <t>企业官网首页</t>
  </si>
  <si>
    <t>MX-001</t>
  </si>
  <si>
    <t>梦想小镇</t>
  </si>
  <si>
    <t>灵伴科技（杭州）股份有限公司（Rokid）</t>
  </si>
  <si>
    <t>灵伴科技（杭州）股份有限公司</t>
  </si>
  <si>
    <t>（计划外）</t>
  </si>
  <si>
    <t>人工智能/增强现实/空间计算</t>
  </si>
  <si>
    <t>浙江省杭州市余杭区仓前街道良睦路1288号8幢101</t>
  </si>
  <si>
    <t>注册地址</t>
  </si>
  <si>
    <t>梦想小镇核心区</t>
  </si>
  <si>
    <t>园区/建筑级（约100–300m）</t>
  </si>
  <si>
    <t>公开地址+地图人工定位</t>
  </si>
  <si>
    <t>已核验</t>
  </si>
  <si>
    <t>建议实地复核</t>
  </si>
  <si>
    <t>https://www.aiqicha.com/company_detail_43631090423120</t>
  </si>
  <si>
    <t/>
  </si>
  <si>
    <t>公开工商地址位于梦想小镇创业集市区域；实际使用楼层可能调整。</t>
  </si>
  <si>
    <t>https://www.rokid.com/</t>
  </si>
  <si>
    <t>MX-002</t>
  </si>
  <si>
    <t>杭州弧途科技有限公司（青团社）</t>
  </si>
  <si>
    <t>杭州弧途科技有限公司</t>
  </si>
  <si>
    <t>数字平台/灵活用工/青年就业服务</t>
  </si>
  <si>
    <t>浙江省杭州市余杭区仓前街道文一西路1380号11楼1106室</t>
  </si>
  <si>
    <t>梦想小镇核心区/邻接区</t>
  </si>
  <si>
    <t>建筑级（约50–150m）</t>
  </si>
  <si>
    <t>百度公开点位BD-09转WGS84</t>
  </si>
  <si>
    <t>初步核验</t>
  </si>
  <si>
    <t>https://pitchhub.36kr.com/project/1679812838658823</t>
  </si>
  <si>
    <t>地址对应金之源大厦一带，适合作为GIS展示点；访谈前仍应确认实际办公楼层。</t>
  </si>
  <si>
    <t>https://www.qtshe.com/</t>
  </si>
  <si>
    <t>MX-003</t>
  </si>
  <si>
    <t>杭州零零科技有限公司（Zero Zero Robotics）</t>
  </si>
  <si>
    <t>杭州零零科技有限公司</t>
  </si>
  <si>
    <t>无人机/智能影像/计算机视觉</t>
  </si>
  <si>
    <t>浙江省杭州市余杭区仓前街道伍迪中心2幢4层401</t>
  </si>
  <si>
    <t>办公地址</t>
  </si>
  <si>
    <t>梦想小镇关联区</t>
  </si>
  <si>
    <t>园区级（约300–800m）</t>
  </si>
  <si>
    <t>公开办公地址+园区人工定位</t>
  </si>
  <si>
    <t>部分核验</t>
  </si>
  <si>
    <t>待地图API复核</t>
  </si>
  <si>
    <t>https://www.jobui.com/company/15529208/</t>
  </si>
  <si>
    <t>https://patentimages.storage.googleapis.com/b3/af/4e/b6dbd42a560622/CN117992197A.pdf</t>
  </si>
  <si>
    <t>公开招聘信息指向伍迪中心；注册地址、研发办公地可能不一致。</t>
  </si>
  <si>
    <t>https://zerozero.cn/</t>
  </si>
  <si>
    <t>AI-001</t>
  </si>
  <si>
    <t>人工智能小镇/未来科技城</t>
  </si>
  <si>
    <t>浙江强脑科技有限公司（BrainCo）</t>
  </si>
  <si>
    <t>浙江强脑科技有限公司</t>
  </si>
  <si>
    <t>（小队计划）</t>
  </si>
  <si>
    <t>脑机接口/智能仿生/神经调控</t>
  </si>
  <si>
    <t>浙江省杭州市余杭区余杭街道文一西路1818-2号1幢201-5室</t>
  </si>
  <si>
    <t>未来科技城范围</t>
  </si>
  <si>
    <t>https://www.brainco.cn/zh-TW/legal?tab=privacy-summary</t>
  </si>
  <si>
    <t>为公开法律文件所列主体地址；参访前应确认接待地点。</t>
  </si>
  <si>
    <t>https://www.brainco.cn/</t>
  </si>
  <si>
    <t>AI-002</t>
  </si>
  <si>
    <t>杭州群核信息技术有限公司（群核科技）</t>
  </si>
  <si>
    <t>杭州群核信息技术有限公司</t>
  </si>
  <si>
    <t>空间智能/三维设计/云渲染</t>
  </si>
  <si>
    <t>浙江省杭州市上城区莫干山路1418-40号1层106室（注册地址）；杭州市拱墅区余杭塘路515号矩阵国际1号楼11层（客服/办公）</t>
  </si>
  <si>
    <t>注册地址+办公地址</t>
  </si>
  <si>
    <t>区域外</t>
  </si>
  <si>
    <t>办公楼级（约100–300m）</t>
  </si>
  <si>
    <t>官方联系地址+地图人工定位</t>
  </si>
  <si>
    <t>建议按展示目的选择点位</t>
  </si>
  <si>
    <t>https://www.kujiale.com/festatic/privacy_policy</t>
  </si>
  <si>
    <t>https://pitchhub.36kr.com/project/3607982022374280</t>
  </si>
  <si>
    <t>当前公开地址不在未来科技城；不宜作为该小镇核心企业点位，可保留为区域关联企业。</t>
  </si>
  <si>
    <t>https://manycoretech.com/</t>
  </si>
  <si>
    <t>AI-003</t>
  </si>
  <si>
    <t>杭州深度求索人工智能基础技术研究有限公司（DeepSeek）</t>
  </si>
  <si>
    <t>杭州深度求索人工智能基础技术研究有限公司</t>
  </si>
  <si>
    <t>大模型/基础模型/开源人工智能</t>
  </si>
  <si>
    <t>浙江省杭州市拱墅区环城北路169号汇金国际大厦西1幢1201室</t>
  </si>
  <si>
    <t>注册地址/公开总部地址</t>
  </si>
  <si>
    <t>建筑级（约100–300m）</t>
  </si>
  <si>
    <t>公开工商地址+地图人工定位</t>
  </si>
  <si>
    <t>建议地图API复核</t>
  </si>
  <si>
    <t>https://qiye.qizhidao.com/company/f700ed94290f9cdd9c7aba638cc15340.html</t>
  </si>
  <si>
    <t>https://www.21jingji.com/article/20250114/herald/5f428a5a55d92b0a9da4a493d5fc7ae5.html</t>
  </si>
  <si>
    <t>未发现其在未来科技城设立公开研发点的可靠证据，应从小镇核心名单剔除或单列。</t>
  </si>
  <si>
    <t>https://www.deepseek.com/</t>
  </si>
  <si>
    <t>AI-004</t>
  </si>
  <si>
    <t>键嘉医疗相关企业主体</t>
  </si>
  <si>
    <t>杭州键嘉医疗科技股份有限公司</t>
  </si>
  <si>
    <t>医疗机器人/微创手术/智能装备</t>
  </si>
  <si>
    <t>浙江省杭州市余杭区联胜路2-3号8-9栋键嘉大厦</t>
  </si>
  <si>
    <t>杭州总部</t>
  </si>
  <si>
    <t>未来科技城关联区</t>
  </si>
  <si>
    <t>道路/园区级（约200–500m）</t>
  </si>
  <si>
    <t>企业官网地址+地图人工定位</t>
  </si>
  <si>
    <t>https://www.jmed.com/</t>
  </si>
  <si>
    <t>https://static.sse.com.cn/stock/disclosure/announcement/c/202304/001786_20230402_10HP.pdf</t>
  </si>
  <si>
    <t>官网总部地址较招股书注册地址更新，建议实地联络时以官网地址为准。</t>
  </si>
  <si>
    <t>SL-001</t>
  </si>
  <si>
    <t>中国（杭州）算力小镇</t>
  </si>
  <si>
    <t>北京知存科技有限公司或杭州项目主体</t>
  </si>
  <si>
    <t>杭州知存算力科技有限公司（曾用名：北京知存科技有限公司）</t>
  </si>
  <si>
    <t>人工智能芯片/存算一体</t>
  </si>
  <si>
    <t>浙江省杭州市临平区乔司街道科城街180号1幢10层1001</t>
  </si>
  <si>
    <t>算力小镇核心区</t>
  </si>
  <si>
    <t>园区级（约200–500m）</t>
  </si>
  <si>
    <t>公开工商地址+算力小镇园区定位</t>
  </si>
  <si>
    <t>https://aiqicha.baidu.com/company_basic_32281198387012</t>
  </si>
  <si>
    <t>https://map.baidu.com/search/%E7%A7%91%E5%9F%8E%E8%A1%97180%E5%8F%B7</t>
  </si>
  <si>
    <t>已完成本地主体解析：原北京主体已迁入并更名，应使用杭州知存算力科技有限公司。</t>
  </si>
  <si>
    <t>https://www.witmem.com/</t>
  </si>
  <si>
    <t>SL-002</t>
  </si>
  <si>
    <t>徴格半导体（杭州）有限公司</t>
  </si>
  <si>
    <t>高速ADC/模拟芯片/混合信号</t>
  </si>
  <si>
    <t>浙江省杭州市临平区乔司街道科城街180号算力小镇1幢8层</t>
  </si>
  <si>
    <t>注册地址/办公地址</t>
  </si>
  <si>
    <t>公开地址+算力小镇园区定位</t>
  </si>
  <si>
    <t>https://www.10100.com/article/144542150</t>
  </si>
  <si>
    <t>https://www.zynalog.com/</t>
  </si>
  <si>
    <t>公开资料也出现“C幢816”口径，可能是同园区楼栋编码差异。</t>
  </si>
  <si>
    <t>SL-003</t>
  </si>
  <si>
    <t>杭州智诊科技有限公司</t>
  </si>
  <si>
    <t>医疗AI/医学多模态模型/临床辅助</t>
  </si>
  <si>
    <t>浙江省杭州市临平区杭州智能·健康谷A栋7楼</t>
  </si>
  <si>
    <t>区域外（临平区内）</t>
  </si>
  <si>
    <t>园区级（约500m–1km）</t>
  </si>
  <si>
    <t>企业官网地址+园区人工定位</t>
  </si>
  <si>
    <t>https://www.wisediag.com/</t>
  </si>
  <si>
    <t>https://www.wisediag.com/partners</t>
  </si>
  <si>
    <t>企业位于临平区，但公开地址并非算力小镇核心园区，不应直接计入小镇热力统计。</t>
  </si>
  <si>
    <t>DQ-001</t>
  </si>
  <si>
    <t>德清地理信息小镇</t>
  </si>
  <si>
    <t>浙江南方测绘科技有限公司</t>
  </si>
  <si>
    <t>测绘装备/GNSS/三维激光/无人机测绘</t>
  </si>
  <si>
    <t>浙江省湖州市德清县舞阳街道科源路11-3号五楼</t>
  </si>
  <si>
    <t>地理信息小镇核心区</t>
  </si>
  <si>
    <t>园区/楼宇级（约100–300m）</t>
  </si>
  <si>
    <t>公开地址+地信小镇园区定位</t>
  </si>
  <si>
    <t>https://top.qcc.com/tc/705bc56ea90a.html</t>
  </si>
  <si>
    <t>地址处于浙江地理信息产业园核心楼宇群。</t>
  </si>
  <si>
    <t>https://www.southsurvey.com/</t>
  </si>
  <si>
    <t>DQ-002</t>
  </si>
  <si>
    <t>浙江中海达空间信息技术有限公司</t>
  </si>
  <si>
    <t>北斗/GNSS/三维激光/海洋测绘</t>
  </si>
  <si>
    <t>浙江省湖州市德清县舞阳街道科源路10号1幢1101、1102室</t>
  </si>
  <si>
    <t>楼宇级（约100–300m）</t>
  </si>
  <si>
    <t>企业官网/工商地址+园区定位</t>
  </si>
  <si>
    <t>https://www.zjzhd.com/</t>
  </si>
  <si>
    <t>https://pitchhub.36kr.com/project/2012742991152646</t>
  </si>
  <si>
    <t>官网以科源路10号1幢10—11层表述，工商信息细化为1101、1102室。</t>
  </si>
  <si>
    <t>DQ-003</t>
  </si>
  <si>
    <t>浙江合信地理信息技术有限公司</t>
  </si>
  <si>
    <t>遥感测绘/GIS平台/互联网地图</t>
  </si>
  <si>
    <t>浙江省湖州市德清县舞阳街道云岫南路611号2幢1701室</t>
  </si>
  <si>
    <t>地理信息小镇关联区</t>
  </si>
  <si>
    <t>楼宇/道路级（约200–500m）</t>
  </si>
  <si>
    <t>https://aiqicha.baidu.com/detail/compinfo?fr=zhidao&amp;pid=xlTM-TogKuTw5wzAnB2qz4vJST744dOICQmd</t>
  </si>
  <si>
    <t>https://www.hxgeo.cn/</t>
  </si>
  <si>
    <t>旧资料常见科源路48号，现行公开地址已变更为云岫南路611号。</t>
  </si>
  <si>
    <t>DQ-004</t>
  </si>
  <si>
    <t>浙江正元地理信息有限责任公司</t>
  </si>
  <si>
    <t>地下管线/城市安全/GIS平台</t>
  </si>
  <si>
    <t>浙江省湖州市德清县舞阳街道科源路10号3幢1201、1202室</t>
  </si>
  <si>
    <t>公开工商地址+园区定位</t>
  </si>
  <si>
    <t>https://m.zhipin.com/companys/e71bc2db8b06c4cb3nN_3di8.html</t>
  </si>
  <si>
    <t>https://www.iguopin.com/company?id=10685381589632913</t>
  </si>
  <si>
    <t>“正元大厦”是楼宇俗称，正式注册地址包含3幢1201、1202室。</t>
  </si>
  <si>
    <t>https://www.zhejiangzhengyuan.com/</t>
  </si>
  <si>
    <t>DQ-005</t>
  </si>
  <si>
    <t>中测新图相关企业主体</t>
  </si>
  <si>
    <t>浙江中测新图地理信息技术有限公司</t>
  </si>
  <si>
    <t>遥感数据/摄影测量/地理信息平台</t>
  </si>
  <si>
    <t>浙江省湖州市德清县舞阳街道（原武康镇）科源路11号6幢</t>
  </si>
  <si>
    <t>办公/注册地址</t>
  </si>
  <si>
    <t>公开招聘地址+园区定位</t>
  </si>
  <si>
    <t>https://tj.ecjtu.edu.cn/info/1073/2562.htm</t>
  </si>
  <si>
    <t>行政区划表述存在“武康镇/舞阳街道”历史差异，点位均指向科源路11号6幢。</t>
  </si>
  <si>
    <t>https://www.chinatoprs.com/</t>
  </si>
  <si>
    <t>DQ-006</t>
  </si>
  <si>
    <t>舜泰汽车相关企业主体</t>
  </si>
  <si>
    <t>浙江舜泰汽车有限公司</t>
  </si>
  <si>
    <t>智能网联汽车/线控底盘/自动驾驶执行系统</t>
  </si>
  <si>
    <t>浙江省湖州市德清县洛舍镇创业大道398号A座3楼04室（莫干山国家高新区）</t>
  </si>
  <si>
    <t>区域外（德清高新区洛舍片区）</t>
  </si>
  <si>
    <t>公开工商地址+镇域人工定位</t>
  </si>
  <si>
    <t>https://aiqicha.baidu.com/company_invest_50136715623793</t>
  </si>
  <si>
    <t>与德清高新区相关，但不在地理信息小镇核心区，应在GIS中单独标为跨界应用企业。</t>
  </si>
  <si>
    <t>http://www.suntae-auto.com/</t>
  </si>
  <si>
    <t>DQ-007</t>
  </si>
  <si>
    <t>中科卫星相关企业主体</t>
  </si>
  <si>
    <t>中科卫星应用德清研究院</t>
  </si>
  <si>
    <t>卫星遥感/空天信息/低空经济</t>
  </si>
  <si>
    <t>浙江省湖州市德清县地理信息小镇科研机构集聚区（具体楼栋待研究院或管委会确认）</t>
  </si>
  <si>
    <t>机构所在地待核验</t>
  </si>
  <si>
    <t>待核验</t>
  </si>
  <si>
    <t>小镇中心级（约1–3km）</t>
  </si>
  <si>
    <t>以地理信息小镇中心点代替</t>
  </si>
  <si>
    <t>仅可用于临时展示</t>
  </si>
  <si>
    <t>https://www.sohu.com/a/518008005_121123740</t>
  </si>
  <si>
    <t>已确认研究院主体与德清关联，但未检索到可靠、现行的具体门牌；正式发布前必须补录。</t>
  </si>
  <si>
    <t>https://www.dasa.net.cn/</t>
  </si>
  <si>
    <t>SX-001</t>
  </si>
  <si>
    <t>越城集成电路小镇</t>
  </si>
  <si>
    <t>芯联集成电路制造股份有限公司</t>
  </si>
  <si>
    <t>晶圆代工/MEMS/功率器件/模拟芯片</t>
  </si>
  <si>
    <t>浙江省绍兴市越城区皋埠街道临江路518号</t>
  </si>
  <si>
    <t>总部/生产基地</t>
  </si>
  <si>
    <t>集成电路小镇核心区</t>
  </si>
  <si>
    <t>园区/厂区级（约200–500m）</t>
  </si>
  <si>
    <t>https://cn.unt-c.com/html/contact/</t>
  </si>
  <si>
    <t>公司官网明确列出绍兴地址；适合作为小镇核心龙头点位。</t>
  </si>
  <si>
    <t>https://cn.unt-c.com/</t>
  </si>
  <si>
    <t>SX-002</t>
  </si>
  <si>
    <t>长电集成电路（绍兴）有限公司</t>
  </si>
  <si>
    <t>集成电路封装测试/晶圆级封装</t>
  </si>
  <si>
    <t>浙江省绍兴市越城区临江路500号</t>
  </si>
  <si>
    <t>注册地址/厂区</t>
  </si>
  <si>
    <t>公开工商地址+园区人工定位</t>
  </si>
  <si>
    <t>https://pitchhub.36kr.com/project/1817526308390791</t>
  </si>
  <si>
    <t>与芯联集成厂区相邻，地址公开口径较稳定。</t>
  </si>
  <si>
    <t>http://www.jsicom.com/</t>
  </si>
  <si>
    <t>SX-003</t>
  </si>
  <si>
    <t>绍兴比亚迪半导体相关项目主体</t>
  </si>
  <si>
    <t>绍兴比亚迪半导体有限公司</t>
  </si>
  <si>
    <t>功率器件/车规级芯片/传感控制</t>
  </si>
  <si>
    <t>浙江省绍兴市越城区马山街道越安北路588号（现行公开地址）；项目环评地址曾为马山路168号</t>
  </si>
  <si>
    <t>注册地址+项目地址</t>
  </si>
  <si>
    <t>集成电路产业平台关联区</t>
  </si>
  <si>
    <t>道路/厂区级（约300–800m）</t>
  </si>
  <si>
    <t>公开工商地址+项目环评交叉核验</t>
  </si>
  <si>
    <t>https://www.qichamao.com/orgcompany/searchitemdtl/5910d4530cee5003088ec92a88bd9ece.html</t>
  </si>
  <si>
    <t>https://zjjcmspublic.oss-cn-hangzhou-zwynet-d01-a.internet.cloud.zj.gov.cn/jcms_files/jcms1/web3090/site/attach/0/c4b33a962b8743ef9657a36fcab9c302.pdf</t>
  </si>
  <si>
    <t>企业地址与项目环评地址存在口径差异，应向企业确认参访厂区入口。</t>
  </si>
  <si>
    <t>https://www.bydmicro.com/</t>
  </si>
  <si>
    <t>SX-004</t>
  </si>
  <si>
    <t>豪威集团相关项目主体（OMNIVISION）</t>
  </si>
  <si>
    <t>豪威半导体（绍兴）有限公司</t>
  </si>
  <si>
    <t>CMOS图像传感器/ASIC/显示与触控</t>
  </si>
  <si>
    <t>浙江省绍兴市越城区皋埠街道香积路92号</t>
  </si>
  <si>
    <t>https://aiqicha.baidu.com/company_basic_30760180379350</t>
  </si>
  <si>
    <t>应与“绍兴豪威半导体有限公司（银桥路326号）”区分；本表按豪威半导体（绍兴）有限公司记录。</t>
  </si>
  <si>
    <t>https://www.omnivision-group.com/</t>
  </si>
  <si>
    <t>SX-005</t>
  </si>
  <si>
    <t>中芯国际相关绍兴项目主体</t>
  </si>
  <si>
    <t>芯联集成电路制造股份有限公司（原中芯集成/中芯绍兴项目主体）</t>
  </si>
  <si>
    <t>晶圆制造/MEMS/功率器件</t>
  </si>
  <si>
    <t>历史项目现行主体地址</t>
  </si>
  <si>
    <t>现行主体官网地址</t>
  </si>
  <si>
    <t>https://cn.unt-c.com/html/news/list_2_13.html</t>
  </si>
  <si>
    <t>该行与SX-001为同一现行法定主体，不应在企业数量统计中重复计数；可作为历史项目标签保留。</t>
  </si>
  <si>
    <t>JS-001</t>
  </si>
  <si>
    <t>嘉善归谷智造小镇</t>
  </si>
  <si>
    <t>赋同量子科技（浙江）有限公司</t>
  </si>
  <si>
    <t>量子信息/超导单光子探测/精密测量</t>
  </si>
  <si>
    <t>浙江省嘉兴市嘉善县罗星街道归谷二路11号</t>
  </si>
  <si>
    <t>总部</t>
  </si>
  <si>
    <t>归谷智造小镇核心区</t>
  </si>
  <si>
    <t>https://www.cnphotec.com/about/contact</t>
  </si>
  <si>
    <t>企业官网明确标注为浙江总部。</t>
  </si>
  <si>
    <t>https://www.cnphotec.com/</t>
  </si>
  <si>
    <t>JS-002</t>
  </si>
  <si>
    <t>浙江朗德电子科技有限公司</t>
  </si>
  <si>
    <t>汽车传感器/电子元器件/智能制造</t>
  </si>
  <si>
    <t>浙江省嘉兴市嘉善县罗星街道世纪大道3088号6栋3层（注册地址）</t>
  </si>
  <si>
    <t>归谷智造小镇关联区</t>
  </si>
  <si>
    <t>道路/楼宇级（约300–800m）</t>
  </si>
  <si>
    <t>https://pitchhub.36kr.com/project/1817521992632194</t>
  </si>
  <si>
    <t>公开资料显示其生产经营活动可能已延伸至平湖文成产业园，需核验嘉善点位是否仍为实际办公地。</t>
  </si>
  <si>
    <t>https://www.rockerstone.com/</t>
  </si>
  <si>
    <t>JS-003</t>
  </si>
  <si>
    <t>浙江宜葆生物科技有限公司</t>
  </si>
  <si>
    <t>生物防控/农业科技/生物制品</t>
  </si>
  <si>
    <t>浙江省嘉兴市嘉善县罗星街道白水塘西路1918号1幢502室</t>
  </si>
  <si>
    <t>专利/公开通讯地址</t>
  </si>
  <si>
    <t>专利公开地址+地图人工定位</t>
  </si>
  <si>
    <t>https://patentimages.storage.googleapis.com/4b/2e/f9/8d7d78a606e361/CN114752521A.pdf</t>
  </si>
  <si>
    <t>专利申请人地址可用于主体定位，但应通过工商年报或企业确认现行办公地址。</t>
  </si>
  <si>
    <t>http://www.ecoprobio.cn/</t>
  </si>
  <si>
    <t>JS-004</t>
  </si>
  <si>
    <t>科比特航空相关企业主体（MMC UAV）</t>
  </si>
  <si>
    <t>浙江科比特创新科技有限公司</t>
  </si>
  <si>
    <t>工业无人机/低空经济/智能巡检</t>
  </si>
  <si>
    <t>浙江省嘉兴市嘉善县罗星街道归谷二路189号1幢401-2室（注册地址）；归谷科技园D座（运营口径）</t>
  </si>
  <si>
    <t>注册地址+运营地址</t>
  </si>
  <si>
    <t>公开工商地址+园区运营信息</t>
  </si>
  <si>
    <t>https://pitchhub.36kr.com/project/1817548774311813</t>
  </si>
  <si>
    <t>应使用浙江科比特创新科技有限公司作为嘉善本地主体，避免直接使用深圳集团主体。</t>
  </si>
  <si>
    <t>https://www.mmcuav.cn/</t>
  </si>
  <si>
    <t>JS-005</t>
  </si>
  <si>
    <t>达普生物相关企业主体</t>
  </si>
  <si>
    <t>浙江达普生物科技有限公司</t>
  </si>
  <si>
    <t>液滴微流控/单细胞分析/生命科学仪器</t>
  </si>
  <si>
    <t>浙江省嘉兴市嘉善县罗星街道灵秀路313号6幢6、7层，8幢6、7层</t>
  </si>
  <si>
    <t>注册地址/研发生产地址</t>
  </si>
  <si>
    <t>公开企业信息+园区人工定位</t>
  </si>
  <si>
    <t>https://www.pharnexcloud.com/trz/trz_968030e010a21d5de30230145c2a2ef3</t>
  </si>
  <si>
    <t>https://www.thunder-bio.com/</t>
  </si>
  <si>
    <t>地址包含多个楼层和楼栋，现场访问应提前确认接待入口。</t>
  </si>
  <si>
    <t>https://dp-bio.com/</t>
  </si>
  <si>
    <t>JS-006</t>
  </si>
  <si>
    <t>景焱智能相关企业主体</t>
  </si>
  <si>
    <t>嘉兴景焱智能装备技术有限公司</t>
  </si>
  <si>
    <t>半导体封装测试装备/精密制造/自动化设备</t>
  </si>
  <si>
    <t>浙江省嘉兴市嘉善县罗星街道归谷二路33号</t>
  </si>
  <si>
    <t>公司地址</t>
  </si>
  <si>
    <t>https://httic.vip.mqy.com.cn/</t>
  </si>
  <si>
    <t>https://pitchhub.36kr.com/project/1818807625928834</t>
  </si>
  <si>
    <t>原清单将其归为“智能医疗装备/数字医疗”不准确；官网显示其核心为半导体装备。</t>
  </si>
  <si>
    <t>JS-007</t>
  </si>
  <si>
    <t>瑞奇医疗相关企业主体</t>
  </si>
  <si>
    <t>瑞奇医疗科技（嘉兴）有限公司</t>
  </si>
  <si>
    <t>牙科种植体/口腔医疗器械/精密制造</t>
  </si>
  <si>
    <t>浙江省嘉兴市嘉善县罗星街道归谷园区孵化中心3号楼</t>
  </si>
  <si>
    <t>企业官网联系地址</t>
  </si>
  <si>
    <t>待工商地址复核</t>
  </si>
  <si>
    <t>https://www.ruiqi-medical.com/picture/</t>
  </si>
  <si>
    <t>企业官网地址可靠，但部分工商平台出现归谷六路88号口径，建议联系企业确认当前接待点。</t>
  </si>
  <si>
    <t>https://www.ruiqi-medical.com/</t>
  </si>
  <si>
    <t>六镇企业地址核验汇总</t>
  </si>
  <si>
    <t>所属小镇</t>
  </si>
  <si>
    <t>企业记录数</t>
  </si>
  <si>
    <t>地址已核验</t>
  </si>
  <si>
    <t>核心区/关联区</t>
  </si>
  <si>
    <t>计划企业数</t>
  </si>
  <si>
    <t>总计</t>
  </si>
  <si>
    <t>关键问题</t>
  </si>
  <si>
    <t>数量</t>
  </si>
  <si>
    <t>处理建议</t>
  </si>
  <si>
    <t>优先级</t>
  </si>
  <si>
    <t>区域外企业</t>
  </si>
  <si>
    <t>从小镇核心热力统计中排除，保留为都市圈关联点</t>
  </si>
  <si>
    <t>高</t>
  </si>
  <si>
    <t>主体/门牌待核验</t>
  </si>
  <si>
    <t>由管委会或企业确认后再对外发布</t>
  </si>
  <si>
    <t>重复历史主体</t>
  </si>
  <si>
    <t>SX-005与SX-001不得重复计数</t>
  </si>
  <si>
    <t>中</t>
  </si>
  <si>
    <t>地址与坐标核验口径说明</t>
  </si>
  <si>
    <t>项目</t>
  </si>
  <si>
    <t>说明</t>
  </si>
  <si>
    <t>坐标系</t>
  </si>
  <si>
    <t>经纬度统一按WGS84记录，便于GeoJSON、MapLibre GL JS、OSMnx等工具使用。</t>
  </si>
  <si>
    <t>坐标性质</t>
  </si>
  <si>
    <t>本表坐标主要依据公开地址进行人工地图定位，少数点位由百度BD-09坐标换算为WGS84。除明确标注外，均不是测绘级坐标。</t>
  </si>
  <si>
    <t>地址优先级</t>
  </si>
  <si>
    <t>企业官网/监管与环评文件 &gt; 工商公开信息 &gt; 招聘与产业平台 &gt; 新闻报道。注册地址与实际办公地冲突时，表中同时保留并说明用途。</t>
  </si>
  <si>
    <t>核验状态：已核验</t>
  </si>
  <si>
    <t>企业主体和完整地址存在至少一个较可靠公开来源，但坐标仍建议通过地图API复核。</t>
  </si>
  <si>
    <t>核验状态：部分核验</t>
  </si>
  <si>
    <t>主体或地址已找到，但存在办公地迁移、小镇归属、多个地址口径等问题。</t>
  </si>
  <si>
    <t>核验状态：待核验</t>
  </si>
  <si>
    <t>只能确认主体与小镇关系，无法确认具体门牌；不得作为正式对外数据。</t>
  </si>
  <si>
    <t>“区域外”表示企业当前公开地址不在对应小镇核心范围，不能直接用于该小镇产业密度和企业数量统计。</t>
  </si>
  <si>
    <t>坐标复核建议</t>
  </si>
  <si>
    <t>将“具体地址”字段批量提交高德地理编码API；保存返回的GCJ-02坐标、匹配等级和formatted_address，再统一转为WGS84。</t>
  </si>
  <si>
    <t>统计去重</t>
  </si>
  <si>
    <t>SX-005是中芯绍兴历史项目口径，现行主体与SX-001相同；计算企业数量、热力权重时只计一次。</t>
  </si>
  <si>
    <t>产业纠错</t>
  </si>
  <si>
    <t>JS-006景焱智能的公开主营方向是半导体封装测试装备与精密自动化设备，并非智能医疗装备。</t>
  </si>
  <si>
    <t>调研优先项</t>
  </si>
  <si>
    <t>优先核验DQ-007具体门牌、SX-003参访厂区入口、JS-002实际生产地、JS-007现行工商地址，以及所有“小队计划”企业的接待地址。</t>
  </si>
  <si>
    <t>核验日期</t>
  </si>
  <si>
    <t>2026-07-12</t>
  </si>
  <si>
    <t>优先填写企业或品牌官方首页；子公司没有独立官网时采用集团官网。未发现可靠独立官网的企业标注为“未检索到独立官网”，不以工商或招聘平台替代。</t>
  </si>
  <si>
    <t>使用注意</t>
  </si>
  <si>
    <t>本文件适合用于GIS平台的第一轮数据导入、点位核验清单和实地调研准备，不应直接作为政府公开名录或精确导航数据。正式上线前，需完成：地图API批量地理编码、异常点人工检查、管委会企业名录交叉核验、计划企业电话确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</si>
</sst>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30">
    <font>
      <sz val="11"/>
      <name val="Carlito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0"/>
      <name val="Carlito"/>
      <charset val="134"/>
    </font>
    <font>
      <sz val="10"/>
      <color rgb="FF1F1F1F"/>
      <name val="Carlito"/>
      <charset val="134"/>
    </font>
    <font>
      <b/>
      <sz val="11"/>
      <color rgb="FF17365D"/>
      <name val="Carlito"/>
      <charset val="134"/>
    </font>
    <font>
      <b/>
      <sz val="11"/>
      <name val="Carlito"/>
      <charset val="134"/>
    </font>
    <font>
      <b/>
      <sz val="10"/>
      <color rgb="FFFFFFFF"/>
      <name val="Carlito"/>
      <charset val="134"/>
    </font>
    <font>
      <sz val="9"/>
      <color rgb="FF1F1F1F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1F1F1F"/>
      <name val="宋体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7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4" applyNumberFormat="0" applyAlignment="0" applyProtection="0">
      <alignment vertical="center"/>
    </xf>
    <xf numFmtId="0" fontId="20" fillId="9" borderId="5" applyNumberFormat="0" applyAlignment="0" applyProtection="0">
      <alignment vertical="center"/>
    </xf>
    <xf numFmtId="0" fontId="21" fillId="9" borderId="4" applyNumberFormat="0" applyAlignment="0" applyProtection="0">
      <alignment vertical="center"/>
    </xf>
    <xf numFmtId="0" fontId="22" fillId="10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2" borderId="0" xfId="49" applyNumberFormat="1" applyFont="1" applyFill="1" applyBorder="1" applyAlignment="1">
      <alignment horizontal="center"/>
    </xf>
    <xf numFmtId="0" fontId="2" fillId="3" borderId="0" xfId="49" applyNumberFormat="1" applyFont="1" applyFill="1" applyBorder="1" applyAlignment="1">
      <alignment horizontal="center"/>
    </xf>
    <xf numFmtId="0" fontId="3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horizontal="center"/>
    </xf>
    <xf numFmtId="0" fontId="0" fillId="5" borderId="0" xfId="49" applyNumberFormat="1" applyFont="1" applyFill="1" applyBorder="1" applyAlignment="1">
      <alignment vertical="center" wrapText="1"/>
    </xf>
    <xf numFmtId="0" fontId="2" fillId="3" borderId="0" xfId="49" applyNumberFormat="1" applyFont="1" applyFill="1" applyBorder="1" applyAlignment="1">
      <alignment horizontal="center" wrapText="1"/>
    </xf>
    <xf numFmtId="0" fontId="6" fillId="4" borderId="0" xfId="49" applyNumberFormat="1" applyFont="1" applyFill="1" applyBorder="1" applyAlignment="1">
      <alignment horizontal="center"/>
    </xf>
    <xf numFmtId="0" fontId="0" fillId="0" borderId="0" xfId="49" applyNumberFormat="1" applyFont="1" applyFill="1" applyBorder="1" applyAlignment="1">
      <alignment wrapText="1"/>
    </xf>
    <xf numFmtId="0" fontId="6" fillId="6" borderId="0" xfId="49" applyNumberFormat="1" applyFont="1" applyFill="1" applyBorder="1" applyAlignment="1">
      <alignment wrapText="1"/>
    </xf>
    <xf numFmtId="0" fontId="6" fillId="5" borderId="0" xfId="49" applyNumberFormat="1" applyFont="1" applyFill="1" applyBorder="1" applyAlignment="1">
      <alignment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4" borderId="0" xfId="49" applyNumberFormat="1" applyFont="1" applyFill="1" applyBorder="1" applyAlignment="1">
      <alignment vertical="center" wrapText="1"/>
    </xf>
    <xf numFmtId="0" fontId="7" fillId="3" borderId="0" xfId="49" applyNumberFormat="1" applyFont="1" applyFill="1" applyBorder="1" applyAlignment="1">
      <alignment horizontal="center" vertical="center" wrapText="1"/>
    </xf>
    <xf numFmtId="0" fontId="8" fillId="0" borderId="0" xfId="49" applyNumberFormat="1" applyFont="1" applyFill="1" applyBorder="1" applyAlignment="1">
      <alignment vertical="top" wrapText="1"/>
    </xf>
    <xf numFmtId="176" fontId="8" fillId="0" borderId="0" xfId="49" applyNumberFormat="1" applyFont="1" applyFill="1" applyBorder="1" applyAlignment="1">
      <alignment vertical="top" wrapText="1"/>
    </xf>
    <xf numFmtId="0" fontId="9" fillId="0" borderId="0" xfId="6" applyNumberFormat="1" applyFill="1" applyBorder="1" applyAlignment="1">
      <alignment vertical="top" wrapText="1"/>
    </xf>
    <xf numFmtId="0" fontId="10" fillId="0" borderId="0" xfId="6" applyNumberFormat="1" applyFont="1" applyFill="1" applyBorder="1" applyAlignment="1">
      <alignment vertical="top" wrapText="1"/>
    </xf>
    <xf numFmtId="0" fontId="11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ill>
        <patternFill patternType="solid">
          <bgColor rgb="FFFCE4D6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六镇地址核验状态</a:t>
            </a:r>
          </a:p>
        </c:rich>
      </c:tx>
      <c:layout/>
      <c:overlay val="0"/>
    </c:title>
    <c:autoTitleDeleted val="0"/>
    <c:plotArea>
      <c:layout/>
      <c:barChart>
        <c:barDir val="col"/>
        <c:grouping val="none"/>
        <c:varyColors val="0"/>
        <c:ser>
          <c:idx val="0"/>
          <c:order val="0"/>
          <c:tx>
            <c:strRef>
              <c:f>"企业记录数"</c:f>
              <c:strCache>
                <c:ptCount val="1"/>
                <c:pt idx="0">
                  <c:v>企业记录数</c:v>
                </c:pt>
              </c:strCache>
            </c:strRef>
          </c:tx>
          <c:invertIfNegative val="0"/>
          <c:dLbls>
            <c:delete val="1"/>
          </c:dLbls>
          <c:cat>
            <c:strRef>
              <c:f>小镇汇总!$A$4:$A$9</c:f>
              <c:strCache>
                <c:ptCount val="6"/>
                <c:pt idx="0">
                  <c:v>梦想小镇</c:v>
                </c:pt>
                <c:pt idx="1">
                  <c:v>人工智能小镇/未来科技城</c:v>
                </c:pt>
                <c:pt idx="2">
                  <c:v>中国（杭州）算力小镇</c:v>
                </c:pt>
                <c:pt idx="3">
                  <c:v>德清地理信息小镇</c:v>
                </c:pt>
                <c:pt idx="4">
                  <c:v>越城集成电路小镇</c:v>
                </c:pt>
                <c:pt idx="5">
                  <c:v>嘉善归谷智造小镇</c:v>
                </c:pt>
              </c:strCache>
            </c:strRef>
          </c:cat>
          <c:val>
            <c:numRef>
              <c:f>小镇汇总!$B$4:$B$9</c:f>
              <c:numCache>
                <c:formatCode>General</c:formatCode>
                <c:ptCount val="6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</c:numCache>
            </c:numRef>
          </c:val>
        </c:ser>
        <c:ser>
          <c:idx val="1"/>
          <c:order val="1"/>
          <c:tx>
            <c:strRef>
              <c:f>"地址已核验"</c:f>
              <c:strCache>
                <c:ptCount val="1"/>
                <c:pt idx="0">
                  <c:v>地址已核验</c:v>
                </c:pt>
              </c:strCache>
            </c:strRef>
          </c:tx>
          <c:invertIfNegative val="0"/>
          <c:dLbls>
            <c:delete val="1"/>
          </c:dLbls>
          <c:cat>
            <c:strRef>
              <c:f>小镇汇总!$A$4:$A$9</c:f>
              <c:strCache>
                <c:ptCount val="6"/>
                <c:pt idx="0">
                  <c:v>梦想小镇</c:v>
                </c:pt>
                <c:pt idx="1">
                  <c:v>人工智能小镇/未来科技城</c:v>
                </c:pt>
                <c:pt idx="2">
                  <c:v>中国（杭州）算力小镇</c:v>
                </c:pt>
                <c:pt idx="3">
                  <c:v>德清地理信息小镇</c:v>
                </c:pt>
                <c:pt idx="4">
                  <c:v>越城集成电路小镇</c:v>
                </c:pt>
                <c:pt idx="5">
                  <c:v>嘉善归谷智造小镇</c:v>
                </c:pt>
              </c:strCache>
            </c:strRef>
          </c:cat>
          <c:val>
            <c:numRef>
              <c:f>小镇汇总!$C$4:$C$9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</c:numCache>
            </c:numRef>
          </c:val>
        </c:ser>
        <c:ser>
          <c:idx val="2"/>
          <c:order val="2"/>
          <c:tx>
            <c:strRef>
              <c:f>"部分核验"</c:f>
              <c:strCache>
                <c:ptCount val="1"/>
                <c:pt idx="0">
                  <c:v>部分核验</c:v>
                </c:pt>
              </c:strCache>
            </c:strRef>
          </c:tx>
          <c:invertIfNegative val="0"/>
          <c:dLbls>
            <c:delete val="1"/>
          </c:dLbls>
          <c:cat>
            <c:strRef>
              <c:f>小镇汇总!$A$4:$A$9</c:f>
              <c:strCache>
                <c:ptCount val="6"/>
                <c:pt idx="0">
                  <c:v>梦想小镇</c:v>
                </c:pt>
                <c:pt idx="1">
                  <c:v>人工智能小镇/未来科技城</c:v>
                </c:pt>
                <c:pt idx="2">
                  <c:v>中国（杭州）算力小镇</c:v>
                </c:pt>
                <c:pt idx="3">
                  <c:v>德清地理信息小镇</c:v>
                </c:pt>
                <c:pt idx="4">
                  <c:v>越城集成电路小镇</c:v>
                </c:pt>
                <c:pt idx="5">
                  <c:v>嘉善归谷智造小镇</c:v>
                </c:pt>
              </c:strCache>
            </c:strRef>
          </c:cat>
          <c:val>
            <c:numRef>
              <c:f>小镇汇总!$D$4:$D$9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</c:ser>
        <c:ser>
          <c:idx val="3"/>
          <c:order val="3"/>
          <c:tx>
            <c:strRef>
              <c:f>"待核验"</c:f>
              <c:strCache>
                <c:ptCount val="1"/>
                <c:pt idx="0">
                  <c:v>待核验</c:v>
                </c:pt>
              </c:strCache>
            </c:strRef>
          </c:tx>
          <c:invertIfNegative val="0"/>
          <c:dLbls>
            <c:delete val="1"/>
          </c:dLbls>
          <c:cat>
            <c:strRef>
              <c:f>小镇汇总!$A$4:$A$9</c:f>
              <c:strCache>
                <c:ptCount val="6"/>
                <c:pt idx="0">
                  <c:v>梦想小镇</c:v>
                </c:pt>
                <c:pt idx="1">
                  <c:v>人工智能小镇/未来科技城</c:v>
                </c:pt>
                <c:pt idx="2">
                  <c:v>中国（杭州）算力小镇</c:v>
                </c:pt>
                <c:pt idx="3">
                  <c:v>德清地理信息小镇</c:v>
                </c:pt>
                <c:pt idx="4">
                  <c:v>越城集成电路小镇</c:v>
                </c:pt>
                <c:pt idx="5">
                  <c:v>嘉善归谷智造小镇</c:v>
                </c:pt>
              </c:strCache>
            </c:strRef>
          </c:cat>
          <c:val>
            <c:numRef>
              <c:f>小镇汇总!$E$4:$E$9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6810ae-b896-470d-bd06-8d14eec98fb3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3092430" y="556260"/>
        <a:ext cx="5577840" cy="302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EnterpriseAddressTable" displayName="EnterpriseAddressTable" ref="A4:S33">
  <tableColumns count="19">
    <tableColumn id="1" name="企业ID"/>
    <tableColumn id="2" name="所属小镇（原计划）"/>
    <tableColumn id="3" name="原企业/主体"/>
    <tableColumn id="4" name="核验后企业主体"/>
    <tableColumn id="5" name="联系标识"/>
    <tableColumn id="6" name="产业方向（核验后）"/>
    <tableColumn id="7" name="具体地址"/>
    <tableColumn id="8" name="地址类型"/>
    <tableColumn id="9" name="小镇归属判断"/>
    <tableColumn id="10" name="经度_WGS84"/>
    <tableColumn id="11" name="纬度_WGS84"/>
    <tableColumn id="12" name="坐标精度"/>
    <tableColumn id="13" name="坐标获取方式"/>
    <tableColumn id="14" name="地址核验状态"/>
    <tableColumn id="15" name="坐标核验状态"/>
    <tableColumn id="16" name="主要来源URL"/>
    <tableColumn id="17" name="备用来源URL"/>
    <tableColumn id="18" name="核验备注"/>
    <tableColumn id="20" name="企业官网首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witmem.com/" TargetMode="External"/><Relationship Id="rId8" Type="http://schemas.openxmlformats.org/officeDocument/2006/relationships/hyperlink" Target="https://www.jmed.com/" TargetMode="External"/><Relationship Id="rId7" Type="http://schemas.openxmlformats.org/officeDocument/2006/relationships/hyperlink" Target="https://www.deepseek.com/" TargetMode="External"/><Relationship Id="rId6" Type="http://schemas.openxmlformats.org/officeDocument/2006/relationships/hyperlink" Target="https://manycoretech.com/" TargetMode="External"/><Relationship Id="rId5" Type="http://schemas.openxmlformats.org/officeDocument/2006/relationships/hyperlink" Target="https://www.brainco.cn/" TargetMode="External"/><Relationship Id="rId4" Type="http://schemas.openxmlformats.org/officeDocument/2006/relationships/hyperlink" Target="https://zerozero.cn/" TargetMode="External"/><Relationship Id="rId3" Type="http://schemas.openxmlformats.org/officeDocument/2006/relationships/hyperlink" Target="https://www.qtshe.com/" TargetMode="External"/><Relationship Id="rId29" Type="http://schemas.openxmlformats.org/officeDocument/2006/relationships/hyperlink" Target="http://www.ecoprobio.cn/" TargetMode="External"/><Relationship Id="rId28" Type="http://schemas.openxmlformats.org/officeDocument/2006/relationships/hyperlink" Target="https://www.ruiqi-medical.com/" TargetMode="External"/><Relationship Id="rId27" Type="http://schemas.openxmlformats.org/officeDocument/2006/relationships/hyperlink" Target="https://httic.vip.mqy.com.cn/" TargetMode="External"/><Relationship Id="rId26" Type="http://schemas.openxmlformats.org/officeDocument/2006/relationships/hyperlink" Target="https://dp-bio.com/" TargetMode="External"/><Relationship Id="rId25" Type="http://schemas.openxmlformats.org/officeDocument/2006/relationships/hyperlink" Target="https://www.mmcuav.cn/" TargetMode="External"/><Relationship Id="rId24" Type="http://schemas.openxmlformats.org/officeDocument/2006/relationships/hyperlink" Target="https://www.rockerstone.com/" TargetMode="External"/><Relationship Id="rId23" Type="http://schemas.openxmlformats.org/officeDocument/2006/relationships/hyperlink" Target="https://www.cnphotec.com/" TargetMode="External"/><Relationship Id="rId22" Type="http://schemas.openxmlformats.org/officeDocument/2006/relationships/hyperlink" Target="https://www.omnivision-group.com/" TargetMode="External"/><Relationship Id="rId21" Type="http://schemas.openxmlformats.org/officeDocument/2006/relationships/hyperlink" Target="https://www.bydmicro.com/" TargetMode="External"/><Relationship Id="rId20" Type="http://schemas.openxmlformats.org/officeDocument/2006/relationships/hyperlink" Target="http://www.jsicom.com/" TargetMode="External"/><Relationship Id="rId2" Type="http://schemas.openxmlformats.org/officeDocument/2006/relationships/hyperlink" Target="https://www.rokid.com/" TargetMode="External"/><Relationship Id="rId19" Type="http://schemas.openxmlformats.org/officeDocument/2006/relationships/hyperlink" Target="https://cn.unt-c.com/" TargetMode="External"/><Relationship Id="rId18" Type="http://schemas.openxmlformats.org/officeDocument/2006/relationships/hyperlink" Target="https://www.dasa.net.cn/" TargetMode="External"/><Relationship Id="rId17" Type="http://schemas.openxmlformats.org/officeDocument/2006/relationships/hyperlink" Target="http://www.suntae-auto.com/" TargetMode="External"/><Relationship Id="rId16" Type="http://schemas.openxmlformats.org/officeDocument/2006/relationships/hyperlink" Target="https://www.chinatoprs.com/" TargetMode="External"/><Relationship Id="rId15" Type="http://schemas.openxmlformats.org/officeDocument/2006/relationships/hyperlink" Target="https://www.zhejiangzhengyuan.com/" TargetMode="External"/><Relationship Id="rId14" Type="http://schemas.openxmlformats.org/officeDocument/2006/relationships/hyperlink" Target="https://www.hxgeo.cn/" TargetMode="External"/><Relationship Id="rId13" Type="http://schemas.openxmlformats.org/officeDocument/2006/relationships/hyperlink" Target="https://www.zjzhd.com/" TargetMode="External"/><Relationship Id="rId12" Type="http://schemas.openxmlformats.org/officeDocument/2006/relationships/hyperlink" Target="https://www.southsurvey.com/" TargetMode="External"/><Relationship Id="rId11" Type="http://schemas.openxmlformats.org/officeDocument/2006/relationships/hyperlink" Target="https://www.wisediag.com/" TargetMode="External"/><Relationship Id="rId10" Type="http://schemas.openxmlformats.org/officeDocument/2006/relationships/hyperlink" Target="https://www.zynalog.com/" TargetMode="Externa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3"/>
  <sheetViews>
    <sheetView tabSelected="1" topLeftCell="M2" workbookViewId="0">
      <selection activeCell="D20" sqref="D20"/>
    </sheetView>
  </sheetViews>
  <sheetFormatPr defaultColWidth="9" defaultRowHeight="13.8"/>
  <cols>
    <col min="1" max="1" width="10" customWidth="1"/>
    <col min="2" max="2" width="22" customWidth="1"/>
    <col min="3" max="3" width="28" customWidth="1"/>
    <col min="4" max="4" width="30" customWidth="1"/>
    <col min="5" max="5" width="12" customWidth="1"/>
    <col min="6" max="6" width="28" customWidth="1"/>
    <col min="7" max="7" width="48" customWidth="1"/>
    <col min="8" max="8" width="18" customWidth="1"/>
    <col min="9" max="9" width="22" customWidth="1"/>
    <col min="10" max="11" width="14" customWidth="1"/>
    <col min="12" max="12" width="24" customWidth="1"/>
    <col min="13" max="13" width="26" customWidth="1"/>
    <col min="14" max="14" width="14" customWidth="1"/>
    <col min="15" max="15" width="18" customWidth="1"/>
    <col min="16" max="17" width="42" customWidth="1"/>
    <col min="18" max="18" width="48" customWidth="1"/>
    <col min="19" max="19" width="34" customWidth="1"/>
  </cols>
  <sheetData>
    <row r="1" ht="30" customHeight="1" spans="1:19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ht="34" customHeight="1" spans="1:19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4" ht="34" customHeight="1" spans="1:19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</row>
    <row r="5" ht="14.4" spans="1:19">
      <c r="A5" s="15" t="s">
        <v>21</v>
      </c>
      <c r="B5" s="15" t="s">
        <v>22</v>
      </c>
      <c r="C5" s="15" t="s">
        <v>23</v>
      </c>
      <c r="D5" s="15" t="s">
        <v>24</v>
      </c>
      <c r="E5" s="15" t="s">
        <v>25</v>
      </c>
      <c r="F5" s="15" t="s">
        <v>26</v>
      </c>
      <c r="G5" s="15" t="s">
        <v>27</v>
      </c>
      <c r="H5" s="15" t="s">
        <v>28</v>
      </c>
      <c r="I5" s="15" t="s">
        <v>29</v>
      </c>
      <c r="J5" s="16">
        <v>119.998153</v>
      </c>
      <c r="K5" s="16">
        <v>30.280347</v>
      </c>
      <c r="L5" s="15" t="s">
        <v>30</v>
      </c>
      <c r="M5" s="15" t="s">
        <v>31</v>
      </c>
      <c r="N5" s="15" t="s">
        <v>32</v>
      </c>
      <c r="O5" s="15" t="s">
        <v>33</v>
      </c>
      <c r="P5" s="15" t="s">
        <v>34</v>
      </c>
      <c r="Q5" s="15" t="s">
        <v>35</v>
      </c>
      <c r="R5" s="15" t="s">
        <v>36</v>
      </c>
      <c r="S5" s="17" t="s">
        <v>37</v>
      </c>
    </row>
    <row r="6" ht="21.6" spans="1:19">
      <c r="A6" s="15" t="s">
        <v>38</v>
      </c>
      <c r="B6" s="15" t="s">
        <v>22</v>
      </c>
      <c r="C6" s="15" t="s">
        <v>39</v>
      </c>
      <c r="D6" s="15" t="s">
        <v>40</v>
      </c>
      <c r="E6" s="15" t="s">
        <v>25</v>
      </c>
      <c r="F6" s="15" t="s">
        <v>41</v>
      </c>
      <c r="G6" s="15" t="s">
        <v>42</v>
      </c>
      <c r="H6" s="15" t="s">
        <v>28</v>
      </c>
      <c r="I6" s="15" t="s">
        <v>43</v>
      </c>
      <c r="J6" s="16">
        <v>119.982498</v>
      </c>
      <c r="K6" s="16">
        <v>30.277396</v>
      </c>
      <c r="L6" s="15" t="s">
        <v>44</v>
      </c>
      <c r="M6" s="15" t="s">
        <v>45</v>
      </c>
      <c r="N6" s="15" t="s">
        <v>32</v>
      </c>
      <c r="O6" s="15" t="s">
        <v>46</v>
      </c>
      <c r="P6" s="15" t="s">
        <v>47</v>
      </c>
      <c r="Q6" s="15" t="s">
        <v>35</v>
      </c>
      <c r="R6" s="15" t="s">
        <v>48</v>
      </c>
      <c r="S6" s="17" t="s">
        <v>49</v>
      </c>
    </row>
    <row r="7" ht="22.15" spans="1:19">
      <c r="A7" s="15" t="s">
        <v>50</v>
      </c>
      <c r="B7" s="15" t="s">
        <v>22</v>
      </c>
      <c r="C7" s="15" t="s">
        <v>51</v>
      </c>
      <c r="D7" s="15" t="s">
        <v>52</v>
      </c>
      <c r="E7" s="15" t="s">
        <v>25</v>
      </c>
      <c r="F7" s="15" t="s">
        <v>53</v>
      </c>
      <c r="G7" s="15" t="s">
        <v>54</v>
      </c>
      <c r="H7" s="15" t="s">
        <v>55</v>
      </c>
      <c r="I7" s="15" t="s">
        <v>56</v>
      </c>
      <c r="J7" s="16">
        <v>119.9628</v>
      </c>
      <c r="K7" s="16">
        <v>30.2779</v>
      </c>
      <c r="L7" s="15" t="s">
        <v>57</v>
      </c>
      <c r="M7" s="15" t="s">
        <v>58</v>
      </c>
      <c r="N7" s="15" t="s">
        <v>59</v>
      </c>
      <c r="O7" s="15" t="s">
        <v>60</v>
      </c>
      <c r="P7" s="15" t="s">
        <v>61</v>
      </c>
      <c r="Q7" s="15" t="s">
        <v>62</v>
      </c>
      <c r="R7" s="15" t="s">
        <v>63</v>
      </c>
      <c r="S7" s="17" t="s">
        <v>64</v>
      </c>
    </row>
    <row r="8" ht="14.4" spans="1:19">
      <c r="A8" s="15" t="s">
        <v>65</v>
      </c>
      <c r="B8" s="15" t="s">
        <v>66</v>
      </c>
      <c r="C8" s="15" t="s">
        <v>67</v>
      </c>
      <c r="D8" s="15" t="s">
        <v>68</v>
      </c>
      <c r="E8" s="15" t="s">
        <v>69</v>
      </c>
      <c r="F8" s="15" t="s">
        <v>70</v>
      </c>
      <c r="G8" s="15" t="s">
        <v>71</v>
      </c>
      <c r="H8" s="15" t="s">
        <v>28</v>
      </c>
      <c r="I8" s="15" t="s">
        <v>72</v>
      </c>
      <c r="J8" s="16">
        <v>119.961024</v>
      </c>
      <c r="K8" s="16">
        <v>30.274239</v>
      </c>
      <c r="L8" s="15" t="s">
        <v>44</v>
      </c>
      <c r="M8" s="15" t="s">
        <v>45</v>
      </c>
      <c r="N8" s="15" t="s">
        <v>32</v>
      </c>
      <c r="O8" s="15" t="s">
        <v>46</v>
      </c>
      <c r="P8" s="15" t="s">
        <v>73</v>
      </c>
      <c r="Q8" s="15" t="s">
        <v>35</v>
      </c>
      <c r="R8" s="15" t="s">
        <v>74</v>
      </c>
      <c r="S8" s="17" t="s">
        <v>75</v>
      </c>
    </row>
    <row r="9" ht="22.15" spans="1:19">
      <c r="A9" s="15" t="s">
        <v>76</v>
      </c>
      <c r="B9" s="15" t="s">
        <v>66</v>
      </c>
      <c r="C9" s="15" t="s">
        <v>77</v>
      </c>
      <c r="D9" s="15" t="s">
        <v>78</v>
      </c>
      <c r="E9" s="15" t="s">
        <v>25</v>
      </c>
      <c r="F9" s="15" t="s">
        <v>79</v>
      </c>
      <c r="G9" s="15" t="s">
        <v>80</v>
      </c>
      <c r="H9" s="15" t="s">
        <v>81</v>
      </c>
      <c r="I9" s="15" t="s">
        <v>82</v>
      </c>
      <c r="J9" s="16">
        <v>120.1196</v>
      </c>
      <c r="K9" s="16">
        <v>30.3052</v>
      </c>
      <c r="L9" s="15" t="s">
        <v>83</v>
      </c>
      <c r="M9" s="15" t="s">
        <v>84</v>
      </c>
      <c r="N9" s="15" t="s">
        <v>32</v>
      </c>
      <c r="O9" s="15" t="s">
        <v>85</v>
      </c>
      <c r="P9" s="15" t="s">
        <v>86</v>
      </c>
      <c r="Q9" s="15" t="s">
        <v>87</v>
      </c>
      <c r="R9" s="15" t="s">
        <v>88</v>
      </c>
      <c r="S9" s="17" t="s">
        <v>89</v>
      </c>
    </row>
    <row r="10" ht="22.15" spans="1:19">
      <c r="A10" s="15" t="s">
        <v>90</v>
      </c>
      <c r="B10" s="15" t="s">
        <v>66</v>
      </c>
      <c r="C10" s="15" t="s">
        <v>91</v>
      </c>
      <c r="D10" s="15" t="s">
        <v>92</v>
      </c>
      <c r="E10" s="15" t="s">
        <v>25</v>
      </c>
      <c r="F10" s="15" t="s">
        <v>93</v>
      </c>
      <c r="G10" s="15" t="s">
        <v>94</v>
      </c>
      <c r="H10" s="15" t="s">
        <v>95</v>
      </c>
      <c r="I10" s="15" t="s">
        <v>82</v>
      </c>
      <c r="J10" s="16">
        <v>120.1649</v>
      </c>
      <c r="K10" s="16">
        <v>30.2772</v>
      </c>
      <c r="L10" s="15" t="s">
        <v>96</v>
      </c>
      <c r="M10" s="15" t="s">
        <v>97</v>
      </c>
      <c r="N10" s="15" t="s">
        <v>32</v>
      </c>
      <c r="O10" s="15" t="s">
        <v>98</v>
      </c>
      <c r="P10" s="15" t="s">
        <v>99</v>
      </c>
      <c r="Q10" s="15" t="s">
        <v>100</v>
      </c>
      <c r="R10" s="15" t="s">
        <v>101</v>
      </c>
      <c r="S10" s="17" t="s">
        <v>102</v>
      </c>
    </row>
    <row r="11" ht="22.15" spans="1:19">
      <c r="A11" s="15" t="s">
        <v>103</v>
      </c>
      <c r="B11" s="15" t="s">
        <v>66</v>
      </c>
      <c r="C11" s="15" t="s">
        <v>104</v>
      </c>
      <c r="D11" s="15" t="s">
        <v>105</v>
      </c>
      <c r="E11" s="15" t="s">
        <v>69</v>
      </c>
      <c r="F11" s="15" t="s">
        <v>106</v>
      </c>
      <c r="G11" s="15" t="s">
        <v>107</v>
      </c>
      <c r="H11" s="15" t="s">
        <v>108</v>
      </c>
      <c r="I11" s="15" t="s">
        <v>109</v>
      </c>
      <c r="J11" s="16">
        <v>120.0718</v>
      </c>
      <c r="K11" s="16">
        <v>30.2435</v>
      </c>
      <c r="L11" s="15" t="s">
        <v>110</v>
      </c>
      <c r="M11" s="15" t="s">
        <v>111</v>
      </c>
      <c r="N11" s="15" t="s">
        <v>32</v>
      </c>
      <c r="O11" s="15" t="s">
        <v>60</v>
      </c>
      <c r="P11" s="15" t="s">
        <v>112</v>
      </c>
      <c r="Q11" s="15" t="s">
        <v>113</v>
      </c>
      <c r="R11" s="15" t="s">
        <v>114</v>
      </c>
      <c r="S11" s="18" t="s">
        <v>112</v>
      </c>
    </row>
    <row r="12" ht="22.15" spans="1:19">
      <c r="A12" s="15" t="s">
        <v>115</v>
      </c>
      <c r="B12" s="15" t="s">
        <v>116</v>
      </c>
      <c r="C12" s="19" t="s">
        <v>117</v>
      </c>
      <c r="D12" s="15" t="s">
        <v>118</v>
      </c>
      <c r="E12" s="15" t="s">
        <v>25</v>
      </c>
      <c r="F12" s="15" t="s">
        <v>119</v>
      </c>
      <c r="G12" s="15" t="s">
        <v>120</v>
      </c>
      <c r="H12" s="15" t="s">
        <v>28</v>
      </c>
      <c r="I12" s="15" t="s">
        <v>121</v>
      </c>
      <c r="J12" s="16">
        <v>120.289</v>
      </c>
      <c r="K12" s="16">
        <v>30.336</v>
      </c>
      <c r="L12" s="15" t="s">
        <v>122</v>
      </c>
      <c r="M12" s="15" t="s">
        <v>123</v>
      </c>
      <c r="N12" s="15" t="s">
        <v>32</v>
      </c>
      <c r="O12" s="15" t="s">
        <v>60</v>
      </c>
      <c r="P12" s="15" t="s">
        <v>124</v>
      </c>
      <c r="Q12" s="15" t="s">
        <v>125</v>
      </c>
      <c r="R12" s="15" t="s">
        <v>126</v>
      </c>
      <c r="S12" s="18" t="s">
        <v>127</v>
      </c>
    </row>
    <row r="13" ht="14.4" spans="1:19">
      <c r="A13" s="15" t="s">
        <v>128</v>
      </c>
      <c r="B13" s="15" t="s">
        <v>116</v>
      </c>
      <c r="C13" s="15" t="s">
        <v>129</v>
      </c>
      <c r="D13" s="15" t="s">
        <v>129</v>
      </c>
      <c r="E13" s="15" t="s">
        <v>25</v>
      </c>
      <c r="F13" s="15" t="s">
        <v>130</v>
      </c>
      <c r="G13" s="15" t="s">
        <v>131</v>
      </c>
      <c r="H13" s="15" t="s">
        <v>132</v>
      </c>
      <c r="I13" s="15" t="s">
        <v>121</v>
      </c>
      <c r="J13" s="16">
        <v>120.2891</v>
      </c>
      <c r="K13" s="16">
        <v>30.3361</v>
      </c>
      <c r="L13" s="15" t="s">
        <v>122</v>
      </c>
      <c r="M13" s="15" t="s">
        <v>133</v>
      </c>
      <c r="N13" s="15" t="s">
        <v>32</v>
      </c>
      <c r="O13" s="15" t="s">
        <v>60</v>
      </c>
      <c r="P13" s="15" t="s">
        <v>134</v>
      </c>
      <c r="Q13" s="15" t="s">
        <v>135</v>
      </c>
      <c r="R13" s="15" t="s">
        <v>136</v>
      </c>
      <c r="S13" s="18" t="s">
        <v>135</v>
      </c>
    </row>
    <row r="14" ht="21.05" spans="1:19">
      <c r="A14" s="15" t="s">
        <v>137</v>
      </c>
      <c r="B14" s="15" t="s">
        <v>116</v>
      </c>
      <c r="C14" s="15" t="s">
        <v>138</v>
      </c>
      <c r="D14" s="15" t="s">
        <v>138</v>
      </c>
      <c r="E14" s="15" t="s">
        <v>25</v>
      </c>
      <c r="F14" s="15" t="s">
        <v>139</v>
      </c>
      <c r="G14" s="15" t="s">
        <v>140</v>
      </c>
      <c r="H14" s="15" t="s">
        <v>55</v>
      </c>
      <c r="I14" s="15" t="s">
        <v>141</v>
      </c>
      <c r="J14" s="16">
        <v>120.318</v>
      </c>
      <c r="K14" s="16">
        <v>30.438</v>
      </c>
      <c r="L14" s="15" t="s">
        <v>142</v>
      </c>
      <c r="M14" s="15" t="s">
        <v>143</v>
      </c>
      <c r="N14" s="15" t="s">
        <v>32</v>
      </c>
      <c r="O14" s="15" t="s">
        <v>60</v>
      </c>
      <c r="P14" s="15" t="s">
        <v>144</v>
      </c>
      <c r="Q14" s="15" t="s">
        <v>145</v>
      </c>
      <c r="R14" s="15" t="s">
        <v>146</v>
      </c>
      <c r="S14" s="18" t="s">
        <v>144</v>
      </c>
    </row>
    <row r="15" ht="14.4" spans="1:19">
      <c r="A15" s="15" t="s">
        <v>147</v>
      </c>
      <c r="B15" s="15" t="s">
        <v>148</v>
      </c>
      <c r="C15" s="15" t="s">
        <v>149</v>
      </c>
      <c r="D15" s="15" t="s">
        <v>149</v>
      </c>
      <c r="E15" s="15" t="s">
        <v>25</v>
      </c>
      <c r="F15" s="15" t="s">
        <v>150</v>
      </c>
      <c r="G15" s="15" t="s">
        <v>151</v>
      </c>
      <c r="H15" s="15" t="s">
        <v>28</v>
      </c>
      <c r="I15" s="15" t="s">
        <v>152</v>
      </c>
      <c r="J15" s="16">
        <v>119.967</v>
      </c>
      <c r="K15" s="16">
        <v>30.5437</v>
      </c>
      <c r="L15" s="15" t="s">
        <v>153</v>
      </c>
      <c r="M15" s="15" t="s">
        <v>154</v>
      </c>
      <c r="N15" s="15" t="s">
        <v>32</v>
      </c>
      <c r="O15" s="15" t="s">
        <v>60</v>
      </c>
      <c r="P15" s="15" t="s">
        <v>155</v>
      </c>
      <c r="Q15" s="15" t="s">
        <v>35</v>
      </c>
      <c r="R15" s="15" t="s">
        <v>156</v>
      </c>
      <c r="S15" s="18" t="s">
        <v>157</v>
      </c>
    </row>
    <row r="16" ht="14.4" spans="1:19">
      <c r="A16" s="15" t="s">
        <v>158</v>
      </c>
      <c r="B16" s="15" t="s">
        <v>148</v>
      </c>
      <c r="C16" s="15" t="s">
        <v>159</v>
      </c>
      <c r="D16" s="15" t="s">
        <v>159</v>
      </c>
      <c r="E16" s="15" t="s">
        <v>25</v>
      </c>
      <c r="F16" s="15" t="s">
        <v>160</v>
      </c>
      <c r="G16" s="15" t="s">
        <v>161</v>
      </c>
      <c r="H16" s="15" t="s">
        <v>28</v>
      </c>
      <c r="I16" s="15" t="s">
        <v>152</v>
      </c>
      <c r="J16" s="16">
        <v>119.9668</v>
      </c>
      <c r="K16" s="16">
        <v>30.5435</v>
      </c>
      <c r="L16" s="15" t="s">
        <v>162</v>
      </c>
      <c r="M16" s="15" t="s">
        <v>163</v>
      </c>
      <c r="N16" s="15" t="s">
        <v>32</v>
      </c>
      <c r="O16" s="15" t="s">
        <v>60</v>
      </c>
      <c r="P16" s="15" t="s">
        <v>164</v>
      </c>
      <c r="Q16" s="15" t="s">
        <v>165</v>
      </c>
      <c r="R16" s="15" t="s">
        <v>166</v>
      </c>
      <c r="S16" s="18" t="s">
        <v>164</v>
      </c>
    </row>
    <row r="17" ht="22.15" spans="1:19">
      <c r="A17" s="15" t="s">
        <v>167</v>
      </c>
      <c r="B17" s="15" t="s">
        <v>148</v>
      </c>
      <c r="C17" s="19" t="s">
        <v>168</v>
      </c>
      <c r="D17" s="15" t="s">
        <v>168</v>
      </c>
      <c r="E17" s="15" t="s">
        <v>25</v>
      </c>
      <c r="F17" s="15" t="s">
        <v>169</v>
      </c>
      <c r="G17" s="15" t="s">
        <v>170</v>
      </c>
      <c r="H17" s="15" t="s">
        <v>28</v>
      </c>
      <c r="I17" s="15" t="s">
        <v>171</v>
      </c>
      <c r="J17" s="16">
        <v>119.975</v>
      </c>
      <c r="K17" s="16">
        <v>30.5388</v>
      </c>
      <c r="L17" s="15" t="s">
        <v>172</v>
      </c>
      <c r="M17" s="15" t="s">
        <v>97</v>
      </c>
      <c r="N17" s="15" t="s">
        <v>32</v>
      </c>
      <c r="O17" s="15" t="s">
        <v>60</v>
      </c>
      <c r="P17" s="15" t="s">
        <v>173</v>
      </c>
      <c r="Q17" s="15" t="s">
        <v>174</v>
      </c>
      <c r="R17" s="15" t="s">
        <v>175</v>
      </c>
      <c r="S17" s="18" t="s">
        <v>174</v>
      </c>
    </row>
    <row r="18" ht="14.4" spans="1:19">
      <c r="A18" s="15" t="s">
        <v>176</v>
      </c>
      <c r="B18" s="15" t="s">
        <v>148</v>
      </c>
      <c r="C18" s="19" t="s">
        <v>177</v>
      </c>
      <c r="D18" s="15" t="s">
        <v>177</v>
      </c>
      <c r="E18" s="15" t="s">
        <v>25</v>
      </c>
      <c r="F18" s="15" t="s">
        <v>178</v>
      </c>
      <c r="G18" s="15" t="s">
        <v>179</v>
      </c>
      <c r="H18" s="15" t="s">
        <v>28</v>
      </c>
      <c r="I18" s="15" t="s">
        <v>152</v>
      </c>
      <c r="J18" s="16">
        <v>119.9667</v>
      </c>
      <c r="K18" s="16">
        <v>30.5434</v>
      </c>
      <c r="L18" s="15" t="s">
        <v>162</v>
      </c>
      <c r="M18" s="15" t="s">
        <v>180</v>
      </c>
      <c r="N18" s="15" t="s">
        <v>32</v>
      </c>
      <c r="O18" s="15" t="s">
        <v>60</v>
      </c>
      <c r="P18" s="15" t="s">
        <v>181</v>
      </c>
      <c r="Q18" s="15" t="s">
        <v>182</v>
      </c>
      <c r="R18" s="15" t="s">
        <v>183</v>
      </c>
      <c r="S18" s="18" t="s">
        <v>184</v>
      </c>
    </row>
    <row r="19" ht="21.6" spans="1:19">
      <c r="A19" s="15" t="s">
        <v>185</v>
      </c>
      <c r="B19" s="15" t="s">
        <v>148</v>
      </c>
      <c r="C19" s="19" t="s">
        <v>186</v>
      </c>
      <c r="D19" s="15" t="s">
        <v>187</v>
      </c>
      <c r="E19" s="15" t="s">
        <v>25</v>
      </c>
      <c r="F19" s="15" t="s">
        <v>188</v>
      </c>
      <c r="G19" s="15" t="s">
        <v>189</v>
      </c>
      <c r="H19" s="15" t="s">
        <v>190</v>
      </c>
      <c r="I19" s="15" t="s">
        <v>152</v>
      </c>
      <c r="J19" s="16">
        <v>119.9671</v>
      </c>
      <c r="K19" s="16">
        <v>30.5436</v>
      </c>
      <c r="L19" s="15" t="s">
        <v>153</v>
      </c>
      <c r="M19" s="15" t="s">
        <v>191</v>
      </c>
      <c r="N19" s="15" t="s">
        <v>32</v>
      </c>
      <c r="O19" s="15" t="s">
        <v>60</v>
      </c>
      <c r="P19" s="15" t="s">
        <v>192</v>
      </c>
      <c r="Q19" s="15" t="s">
        <v>35</v>
      </c>
      <c r="R19" s="15" t="s">
        <v>193</v>
      </c>
      <c r="S19" s="18" t="s">
        <v>194</v>
      </c>
    </row>
    <row r="20" ht="21.6" spans="1:19">
      <c r="A20" s="15" t="s">
        <v>195</v>
      </c>
      <c r="B20" s="15" t="s">
        <v>148</v>
      </c>
      <c r="C20" s="15" t="s">
        <v>196</v>
      </c>
      <c r="D20" s="19" t="s">
        <v>197</v>
      </c>
      <c r="E20" s="15" t="s">
        <v>69</v>
      </c>
      <c r="F20" s="15" t="s">
        <v>198</v>
      </c>
      <c r="G20" s="15" t="s">
        <v>199</v>
      </c>
      <c r="H20" s="15" t="s">
        <v>28</v>
      </c>
      <c r="I20" s="19" t="s">
        <v>200</v>
      </c>
      <c r="J20" s="16">
        <v>120.101</v>
      </c>
      <c r="K20" s="16">
        <v>30.633</v>
      </c>
      <c r="L20" s="15" t="s">
        <v>142</v>
      </c>
      <c r="M20" s="15" t="s">
        <v>201</v>
      </c>
      <c r="N20" s="15" t="s">
        <v>32</v>
      </c>
      <c r="O20" s="15" t="s">
        <v>60</v>
      </c>
      <c r="P20" s="15" t="s">
        <v>202</v>
      </c>
      <c r="Q20" s="15" t="s">
        <v>35</v>
      </c>
      <c r="R20" s="15" t="s">
        <v>203</v>
      </c>
      <c r="S20" s="18" t="s">
        <v>204</v>
      </c>
    </row>
    <row r="21" ht="21.05" spans="1:19">
      <c r="A21" s="15" t="s">
        <v>205</v>
      </c>
      <c r="B21" s="15" t="s">
        <v>148</v>
      </c>
      <c r="C21" s="15" t="s">
        <v>206</v>
      </c>
      <c r="D21" s="15" t="s">
        <v>207</v>
      </c>
      <c r="E21" s="15" t="s">
        <v>69</v>
      </c>
      <c r="F21" s="15" t="s">
        <v>208</v>
      </c>
      <c r="G21" s="15" t="s">
        <v>209</v>
      </c>
      <c r="H21" s="15" t="s">
        <v>210</v>
      </c>
      <c r="I21" s="15" t="s">
        <v>211</v>
      </c>
      <c r="J21" s="16">
        <v>119.967</v>
      </c>
      <c r="K21" s="16">
        <v>30.5435</v>
      </c>
      <c r="L21" s="15" t="s">
        <v>212</v>
      </c>
      <c r="M21" s="15" t="s">
        <v>213</v>
      </c>
      <c r="N21" s="15" t="s">
        <v>211</v>
      </c>
      <c r="O21" s="15" t="s">
        <v>214</v>
      </c>
      <c r="P21" s="15" t="s">
        <v>215</v>
      </c>
      <c r="Q21" s="15" t="s">
        <v>35</v>
      </c>
      <c r="R21" s="15" t="s">
        <v>216</v>
      </c>
      <c r="S21" s="18" t="s">
        <v>217</v>
      </c>
    </row>
    <row r="22" ht="14.4" spans="1:19">
      <c r="A22" s="15" t="s">
        <v>218</v>
      </c>
      <c r="B22" s="15" t="s">
        <v>219</v>
      </c>
      <c r="C22" s="15" t="s">
        <v>220</v>
      </c>
      <c r="D22" s="15" t="s">
        <v>220</v>
      </c>
      <c r="E22" s="15" t="s">
        <v>25</v>
      </c>
      <c r="F22" s="15" t="s">
        <v>221</v>
      </c>
      <c r="G22" s="15" t="s">
        <v>222</v>
      </c>
      <c r="H22" s="15" t="s">
        <v>223</v>
      </c>
      <c r="I22" s="15" t="s">
        <v>224</v>
      </c>
      <c r="J22" s="16">
        <v>120.6532</v>
      </c>
      <c r="K22" s="16">
        <v>30.0183</v>
      </c>
      <c r="L22" s="15" t="s">
        <v>225</v>
      </c>
      <c r="M22" s="15" t="s">
        <v>143</v>
      </c>
      <c r="N22" s="15" t="s">
        <v>32</v>
      </c>
      <c r="O22" s="15" t="s">
        <v>60</v>
      </c>
      <c r="P22" s="15" t="s">
        <v>226</v>
      </c>
      <c r="Q22" s="15" t="s">
        <v>35</v>
      </c>
      <c r="R22" s="15" t="s">
        <v>227</v>
      </c>
      <c r="S22" s="18" t="s">
        <v>228</v>
      </c>
    </row>
    <row r="23" ht="14.4" spans="1:19">
      <c r="A23" s="15" t="s">
        <v>229</v>
      </c>
      <c r="B23" s="15" t="s">
        <v>219</v>
      </c>
      <c r="C23" s="15" t="s">
        <v>230</v>
      </c>
      <c r="D23" s="19" t="s">
        <v>230</v>
      </c>
      <c r="E23" s="15" t="s">
        <v>69</v>
      </c>
      <c r="F23" s="15" t="s">
        <v>231</v>
      </c>
      <c r="G23" s="15" t="s">
        <v>232</v>
      </c>
      <c r="H23" s="15" t="s">
        <v>233</v>
      </c>
      <c r="I23" s="15" t="s">
        <v>224</v>
      </c>
      <c r="J23" s="16">
        <v>120.652</v>
      </c>
      <c r="K23" s="16">
        <v>30.0185</v>
      </c>
      <c r="L23" s="15" t="s">
        <v>225</v>
      </c>
      <c r="M23" s="15" t="s">
        <v>234</v>
      </c>
      <c r="N23" s="15" t="s">
        <v>32</v>
      </c>
      <c r="O23" s="15" t="s">
        <v>60</v>
      </c>
      <c r="P23" s="15" t="s">
        <v>235</v>
      </c>
      <c r="Q23" s="15" t="s">
        <v>35</v>
      </c>
      <c r="R23" s="15" t="s">
        <v>236</v>
      </c>
      <c r="S23" s="18" t="s">
        <v>237</v>
      </c>
    </row>
    <row r="24" ht="33.25" spans="1:19">
      <c r="A24" s="15" t="s">
        <v>238</v>
      </c>
      <c r="B24" s="15" t="s">
        <v>219</v>
      </c>
      <c r="C24" s="15" t="s">
        <v>239</v>
      </c>
      <c r="D24" s="15" t="s">
        <v>240</v>
      </c>
      <c r="E24" s="15" t="s">
        <v>25</v>
      </c>
      <c r="F24" s="15" t="s">
        <v>241</v>
      </c>
      <c r="G24" s="15" t="s">
        <v>242</v>
      </c>
      <c r="H24" s="15" t="s">
        <v>243</v>
      </c>
      <c r="I24" s="15" t="s">
        <v>244</v>
      </c>
      <c r="J24" s="16">
        <v>120.678</v>
      </c>
      <c r="K24" s="16">
        <v>30.091</v>
      </c>
      <c r="L24" s="15" t="s">
        <v>245</v>
      </c>
      <c r="M24" s="15" t="s">
        <v>246</v>
      </c>
      <c r="N24" s="15" t="s">
        <v>59</v>
      </c>
      <c r="O24" s="15" t="s">
        <v>60</v>
      </c>
      <c r="P24" s="15" t="s">
        <v>247</v>
      </c>
      <c r="Q24" s="15" t="s">
        <v>248</v>
      </c>
      <c r="R24" s="15" t="s">
        <v>249</v>
      </c>
      <c r="S24" s="18" t="s">
        <v>250</v>
      </c>
    </row>
    <row r="25" ht="21.6" spans="1:19">
      <c r="A25" s="15" t="s">
        <v>251</v>
      </c>
      <c r="B25" s="15" t="s">
        <v>219</v>
      </c>
      <c r="C25" s="15" t="s">
        <v>252</v>
      </c>
      <c r="D25" s="15" t="s">
        <v>253</v>
      </c>
      <c r="E25" s="15" t="s">
        <v>69</v>
      </c>
      <c r="F25" s="15" t="s">
        <v>254</v>
      </c>
      <c r="G25" s="15" t="s">
        <v>255</v>
      </c>
      <c r="H25" s="15" t="s">
        <v>28</v>
      </c>
      <c r="I25" s="15" t="s">
        <v>224</v>
      </c>
      <c r="J25" s="16">
        <v>120.6528</v>
      </c>
      <c r="K25" s="16">
        <v>30.014</v>
      </c>
      <c r="L25" s="15" t="s">
        <v>225</v>
      </c>
      <c r="M25" s="15" t="s">
        <v>234</v>
      </c>
      <c r="N25" s="15" t="s">
        <v>32</v>
      </c>
      <c r="O25" s="15" t="s">
        <v>60</v>
      </c>
      <c r="P25" s="15" t="s">
        <v>256</v>
      </c>
      <c r="Q25" s="15" t="s">
        <v>35</v>
      </c>
      <c r="R25" s="15" t="s">
        <v>257</v>
      </c>
      <c r="S25" s="18" t="s">
        <v>258</v>
      </c>
    </row>
    <row r="26" ht="21.6" spans="1:19">
      <c r="A26" s="15" t="s">
        <v>259</v>
      </c>
      <c r="B26" s="15" t="s">
        <v>219</v>
      </c>
      <c r="C26" s="15" t="s">
        <v>260</v>
      </c>
      <c r="D26" s="15" t="s">
        <v>261</v>
      </c>
      <c r="E26" s="15" t="s">
        <v>69</v>
      </c>
      <c r="F26" s="15" t="s">
        <v>262</v>
      </c>
      <c r="G26" s="15" t="s">
        <v>222</v>
      </c>
      <c r="H26" s="15" t="s">
        <v>263</v>
      </c>
      <c r="I26" s="15" t="s">
        <v>224</v>
      </c>
      <c r="J26" s="16">
        <v>120.6532</v>
      </c>
      <c r="K26" s="16">
        <v>30.0183</v>
      </c>
      <c r="L26" s="15" t="s">
        <v>225</v>
      </c>
      <c r="M26" s="15" t="s">
        <v>264</v>
      </c>
      <c r="N26" s="15" t="s">
        <v>32</v>
      </c>
      <c r="O26" s="15" t="s">
        <v>60</v>
      </c>
      <c r="P26" s="15" t="s">
        <v>265</v>
      </c>
      <c r="Q26" s="15" t="s">
        <v>226</v>
      </c>
      <c r="R26" s="15" t="s">
        <v>266</v>
      </c>
      <c r="S26" s="18" t="s">
        <v>228</v>
      </c>
    </row>
    <row r="27" ht="14.4" spans="1:19">
      <c r="A27" s="15" t="s">
        <v>267</v>
      </c>
      <c r="B27" s="15" t="s">
        <v>268</v>
      </c>
      <c r="C27" s="15" t="s">
        <v>269</v>
      </c>
      <c r="D27" s="15" t="s">
        <v>269</v>
      </c>
      <c r="E27" s="15" t="s">
        <v>69</v>
      </c>
      <c r="F27" s="15" t="s">
        <v>270</v>
      </c>
      <c r="G27" s="15" t="s">
        <v>271</v>
      </c>
      <c r="H27" s="15" t="s">
        <v>272</v>
      </c>
      <c r="I27" s="15" t="s">
        <v>273</v>
      </c>
      <c r="J27" s="16">
        <v>120.9186</v>
      </c>
      <c r="K27" s="16">
        <v>30.8195</v>
      </c>
      <c r="L27" s="15" t="s">
        <v>153</v>
      </c>
      <c r="M27" s="15" t="s">
        <v>143</v>
      </c>
      <c r="N27" s="15" t="s">
        <v>32</v>
      </c>
      <c r="O27" s="15" t="s">
        <v>60</v>
      </c>
      <c r="P27" s="15" t="s">
        <v>274</v>
      </c>
      <c r="Q27" s="15" t="s">
        <v>35</v>
      </c>
      <c r="R27" s="15" t="s">
        <v>275</v>
      </c>
      <c r="S27" s="18" t="s">
        <v>276</v>
      </c>
    </row>
    <row r="28" ht="21.05" spans="1:19">
      <c r="A28" s="15" t="s">
        <v>277</v>
      </c>
      <c r="B28" s="15" t="s">
        <v>268</v>
      </c>
      <c r="C28" s="15" t="s">
        <v>278</v>
      </c>
      <c r="D28" s="15" t="s">
        <v>278</v>
      </c>
      <c r="E28" s="15" t="s">
        <v>25</v>
      </c>
      <c r="F28" s="15" t="s">
        <v>279</v>
      </c>
      <c r="G28" s="15" t="s">
        <v>280</v>
      </c>
      <c r="H28" s="15" t="s">
        <v>28</v>
      </c>
      <c r="I28" s="15" t="s">
        <v>281</v>
      </c>
      <c r="J28" s="16">
        <v>120.9115</v>
      </c>
      <c r="K28" s="16">
        <v>30.822</v>
      </c>
      <c r="L28" s="15" t="s">
        <v>282</v>
      </c>
      <c r="M28" s="15" t="s">
        <v>97</v>
      </c>
      <c r="N28" s="15" t="s">
        <v>59</v>
      </c>
      <c r="O28" s="15" t="s">
        <v>60</v>
      </c>
      <c r="P28" s="15" t="s">
        <v>283</v>
      </c>
      <c r="Q28" s="15" t="s">
        <v>35</v>
      </c>
      <c r="R28" s="15" t="s">
        <v>284</v>
      </c>
      <c r="S28" s="18" t="s">
        <v>285</v>
      </c>
    </row>
    <row r="29" ht="22.15" spans="1:19">
      <c r="A29" s="15" t="s">
        <v>286</v>
      </c>
      <c r="B29" s="15" t="s">
        <v>268</v>
      </c>
      <c r="C29" s="19" t="s">
        <v>287</v>
      </c>
      <c r="D29" s="15" t="s">
        <v>287</v>
      </c>
      <c r="E29" s="15" t="s">
        <v>25</v>
      </c>
      <c r="F29" s="15" t="s">
        <v>288</v>
      </c>
      <c r="G29" s="15" t="s">
        <v>289</v>
      </c>
      <c r="H29" s="15" t="s">
        <v>290</v>
      </c>
      <c r="I29" s="15" t="s">
        <v>281</v>
      </c>
      <c r="J29" s="16">
        <v>120.9135</v>
      </c>
      <c r="K29" s="16">
        <v>30.8138</v>
      </c>
      <c r="L29" s="15" t="s">
        <v>282</v>
      </c>
      <c r="M29" s="15" t="s">
        <v>291</v>
      </c>
      <c r="N29" s="15" t="s">
        <v>59</v>
      </c>
      <c r="O29" s="15" t="s">
        <v>60</v>
      </c>
      <c r="P29" s="15" t="s">
        <v>292</v>
      </c>
      <c r="Q29" s="15" t="s">
        <v>35</v>
      </c>
      <c r="R29" s="15" t="s">
        <v>293</v>
      </c>
      <c r="S29" s="18" t="s">
        <v>294</v>
      </c>
    </row>
    <row r="30" ht="22.15" spans="1:19">
      <c r="A30" s="15" t="s">
        <v>295</v>
      </c>
      <c r="B30" s="15" t="s">
        <v>268</v>
      </c>
      <c r="C30" s="15" t="s">
        <v>296</v>
      </c>
      <c r="D30" s="15" t="s">
        <v>297</v>
      </c>
      <c r="E30" s="15" t="s">
        <v>69</v>
      </c>
      <c r="F30" s="15" t="s">
        <v>298</v>
      </c>
      <c r="G30" s="15" t="s">
        <v>299</v>
      </c>
      <c r="H30" s="15" t="s">
        <v>300</v>
      </c>
      <c r="I30" s="15" t="s">
        <v>273</v>
      </c>
      <c r="J30" s="16">
        <v>120.92</v>
      </c>
      <c r="K30" s="16">
        <v>30.8213</v>
      </c>
      <c r="L30" s="15" t="s">
        <v>153</v>
      </c>
      <c r="M30" s="15" t="s">
        <v>301</v>
      </c>
      <c r="N30" s="15" t="s">
        <v>32</v>
      </c>
      <c r="O30" s="15" t="s">
        <v>60</v>
      </c>
      <c r="P30" s="15" t="s">
        <v>302</v>
      </c>
      <c r="Q30" s="15" t="s">
        <v>35</v>
      </c>
      <c r="R30" s="15" t="s">
        <v>303</v>
      </c>
      <c r="S30" s="18" t="s">
        <v>304</v>
      </c>
    </row>
    <row r="31" ht="22.15" spans="1:19">
      <c r="A31" s="15" t="s">
        <v>305</v>
      </c>
      <c r="B31" s="15" t="s">
        <v>268</v>
      </c>
      <c r="C31" s="19" t="s">
        <v>306</v>
      </c>
      <c r="D31" s="19" t="s">
        <v>307</v>
      </c>
      <c r="E31" s="15" t="s">
        <v>69</v>
      </c>
      <c r="F31" s="15" t="s">
        <v>308</v>
      </c>
      <c r="G31" s="15" t="s">
        <v>309</v>
      </c>
      <c r="H31" s="15" t="s">
        <v>310</v>
      </c>
      <c r="I31" s="15" t="s">
        <v>273</v>
      </c>
      <c r="J31" s="16">
        <v>120.9178</v>
      </c>
      <c r="K31" s="16">
        <v>30.8175</v>
      </c>
      <c r="L31" s="15" t="s">
        <v>153</v>
      </c>
      <c r="M31" s="15" t="s">
        <v>311</v>
      </c>
      <c r="N31" s="15" t="s">
        <v>32</v>
      </c>
      <c r="O31" s="15" t="s">
        <v>60</v>
      </c>
      <c r="P31" s="15" t="s">
        <v>312</v>
      </c>
      <c r="Q31" s="15" t="s">
        <v>313</v>
      </c>
      <c r="R31" s="15" t="s">
        <v>314</v>
      </c>
      <c r="S31" s="18" t="s">
        <v>315</v>
      </c>
    </row>
    <row r="32" ht="21.6" spans="1:19">
      <c r="A32" s="15" t="s">
        <v>316</v>
      </c>
      <c r="B32" s="15" t="s">
        <v>268</v>
      </c>
      <c r="C32" s="15" t="s">
        <v>317</v>
      </c>
      <c r="D32" s="15" t="s">
        <v>318</v>
      </c>
      <c r="E32" s="15" t="s">
        <v>69</v>
      </c>
      <c r="F32" s="15" t="s">
        <v>319</v>
      </c>
      <c r="G32" s="15" t="s">
        <v>320</v>
      </c>
      <c r="H32" s="15" t="s">
        <v>321</v>
      </c>
      <c r="I32" s="15" t="s">
        <v>273</v>
      </c>
      <c r="J32" s="16">
        <v>120.9191</v>
      </c>
      <c r="K32" s="16">
        <v>30.82</v>
      </c>
      <c r="L32" s="15" t="s">
        <v>153</v>
      </c>
      <c r="M32" s="15" t="s">
        <v>143</v>
      </c>
      <c r="N32" s="15" t="s">
        <v>32</v>
      </c>
      <c r="O32" s="15" t="s">
        <v>60</v>
      </c>
      <c r="P32" s="15" t="s">
        <v>322</v>
      </c>
      <c r="Q32" s="15" t="s">
        <v>323</v>
      </c>
      <c r="R32" s="15" t="s">
        <v>324</v>
      </c>
      <c r="S32" s="18" t="s">
        <v>322</v>
      </c>
    </row>
    <row r="33" ht="21.6" spans="1:19">
      <c r="A33" s="15" t="s">
        <v>325</v>
      </c>
      <c r="B33" s="15" t="s">
        <v>268</v>
      </c>
      <c r="C33" s="15" t="s">
        <v>326</v>
      </c>
      <c r="D33" s="15" t="s">
        <v>327</v>
      </c>
      <c r="E33" s="15" t="s">
        <v>69</v>
      </c>
      <c r="F33" s="15" t="s">
        <v>328</v>
      </c>
      <c r="G33" s="15" t="s">
        <v>329</v>
      </c>
      <c r="H33" s="15" t="s">
        <v>330</v>
      </c>
      <c r="I33" s="15" t="s">
        <v>273</v>
      </c>
      <c r="J33" s="16">
        <v>120.918</v>
      </c>
      <c r="K33" s="16">
        <v>30.8208</v>
      </c>
      <c r="L33" s="15" t="s">
        <v>153</v>
      </c>
      <c r="M33" s="15" t="s">
        <v>143</v>
      </c>
      <c r="N33" s="15" t="s">
        <v>59</v>
      </c>
      <c r="O33" s="15" t="s">
        <v>331</v>
      </c>
      <c r="P33" s="15" t="s">
        <v>332</v>
      </c>
      <c r="Q33" s="15" t="s">
        <v>35</v>
      </c>
      <c r="R33" s="15" t="s">
        <v>333</v>
      </c>
      <c r="S33" s="18" t="s">
        <v>334</v>
      </c>
    </row>
  </sheetData>
  <mergeCells count="2">
    <mergeCell ref="A1:S1"/>
    <mergeCell ref="A2:S2"/>
  </mergeCells>
  <conditionalFormatting sqref="I5:I33">
    <cfRule type="expression" dxfId="0" priority="4">
      <formula>ISNUMBER(SEARCH("区域外",I5))</formula>
    </cfRule>
    <cfRule type="expression" dxfId="1" priority="5">
      <formula>ISNUMBER(SEARCH("核心区",I5))</formula>
    </cfRule>
  </conditionalFormatting>
  <conditionalFormatting sqref="N5:N33">
    <cfRule type="expression" dxfId="1" priority="1">
      <formula>N5="已核验"</formula>
    </cfRule>
    <cfRule type="expression" dxfId="2" priority="2">
      <formula>N5="部分核验"</formula>
    </cfRule>
    <cfRule type="expression" dxfId="0" priority="3">
      <formula>N5="待核验"</formula>
    </cfRule>
  </conditionalFormatting>
  <hyperlinks>
    <hyperlink ref="S5" r:id="rId2" display="https://www.rokid.com/"/>
    <hyperlink ref="S6" r:id="rId3" display="https://www.qtshe.com/"/>
    <hyperlink ref="S7" r:id="rId4" display="https://zerozero.cn/"/>
    <hyperlink ref="S8" r:id="rId5" display="https://www.brainco.cn/"/>
    <hyperlink ref="S9" r:id="rId6" display="https://manycoretech.com/"/>
    <hyperlink ref="S10" r:id="rId7" display="https://www.deepseek.com/"/>
    <hyperlink ref="S11" r:id="rId8" display="https://www.jmed.com/" tooltip="https://www.jmed.com/"/>
    <hyperlink ref="S12" r:id="rId9" display="https://www.witmem.com/" tooltip="https://www.witmem.com/"/>
    <hyperlink ref="S13" r:id="rId10" display="https://www.zynalog.com/"/>
    <hyperlink ref="S14" r:id="rId11" display="https://www.wisediag.com/" tooltip="https://www.wisediag.com/"/>
    <hyperlink ref="S15" r:id="rId12" display="https://www.southsurvey.com/" tooltip="https://www.southsurvey.com/"/>
    <hyperlink ref="S16" r:id="rId13" display="https://www.zjzhd.com/" tooltip="https://www.zjzhd.com/"/>
    <hyperlink ref="S17" r:id="rId14" display="https://www.hxgeo.cn/"/>
    <hyperlink ref="S18" r:id="rId15" display="https://www.zhejiangzhengyuan.com/" tooltip="https://www.zhejiangzhengyuan.com/"/>
    <hyperlink ref="S19" r:id="rId16" display="https://www.chinatoprs.com/" tooltip="https://www.chinatoprs.com/"/>
    <hyperlink ref="S20" r:id="rId17" display="http://www.suntae-auto.com/" tooltip="http://www.suntae-auto.com/"/>
    <hyperlink ref="S21" r:id="rId18" display="https://www.dasa.net.cn/"/>
    <hyperlink ref="S22" r:id="rId19" display="https://cn.unt-c.com/"/>
    <hyperlink ref="S23" r:id="rId20" display="http://www.jsicom.com/" tooltip="http://www.jsicom.com/"/>
    <hyperlink ref="S24" r:id="rId21" display="https://www.bydmicro.com/"/>
    <hyperlink ref="S25" r:id="rId22" display="https://www.omnivision-group.com/"/>
    <hyperlink ref="S26" r:id="rId19" display="https://cn.unt-c.com/"/>
    <hyperlink ref="S27" r:id="rId23" display="https://www.cnphotec.com/"/>
    <hyperlink ref="S28" r:id="rId24" display="https://www.rockerstone.com/"/>
    <hyperlink ref="S30" r:id="rId25" display="https://www.mmcuav.cn/"/>
    <hyperlink ref="S31" r:id="rId26" display="https://dp-bio.com/" tooltip="https://dp-bio.com/"/>
    <hyperlink ref="S32" r:id="rId27" display="https://httic.vip.mqy.com.cn/"/>
    <hyperlink ref="S33" r:id="rId28" display="https://www.ruiqi-medical.com/"/>
    <hyperlink ref="S29" r:id="rId29" display="http://www.ecoprobio.cn/"/>
  </hyperlink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workbookViewId="0">
      <selection activeCell="A1" sqref="A1:H1"/>
    </sheetView>
  </sheetViews>
  <sheetFormatPr defaultColWidth="9" defaultRowHeight="13.8" outlineLevelCol="7"/>
  <cols>
    <col min="1" max="1" width="24" customWidth="1"/>
    <col min="2" max="2" width="14" customWidth="1"/>
    <col min="3" max="3" width="52" customWidth="1"/>
    <col min="4" max="8" width="14" customWidth="1"/>
  </cols>
  <sheetData>
    <row r="1" ht="30" customHeight="1" spans="1:8">
      <c r="A1" s="1" t="s">
        <v>335</v>
      </c>
      <c r="B1" s="1"/>
      <c r="C1" s="1"/>
      <c r="D1" s="1"/>
      <c r="E1" s="1"/>
      <c r="F1" s="1"/>
      <c r="G1" s="1"/>
      <c r="H1" s="1"/>
    </row>
    <row r="3" ht="28" customHeight="1" spans="1:8">
      <c r="A3" s="7" t="s">
        <v>336</v>
      </c>
      <c r="B3" s="7" t="s">
        <v>337</v>
      </c>
      <c r="C3" s="7" t="s">
        <v>338</v>
      </c>
      <c r="D3" s="7" t="s">
        <v>59</v>
      </c>
      <c r="E3" s="7" t="s">
        <v>211</v>
      </c>
      <c r="F3" s="7" t="s">
        <v>339</v>
      </c>
      <c r="G3" s="7" t="s">
        <v>82</v>
      </c>
      <c r="H3" s="7" t="s">
        <v>340</v>
      </c>
    </row>
    <row r="4" spans="1:8">
      <c r="A4" t="s">
        <v>22</v>
      </c>
      <c r="B4">
        <f>COUNTIF(企业地址坐标!$B$5:$B$33,A4)</f>
        <v>3</v>
      </c>
      <c r="C4">
        <f>COUNTIFS(企业地址坐标!$B$5:$B$33,A4,企业地址坐标!$N$5:$N$33,"已核验")</f>
        <v>2</v>
      </c>
      <c r="D4">
        <f>COUNTIFS(企业地址坐标!$B$5:$B$33,A4,企业地址坐标!$N$5:$N$33,"部分核验")</f>
        <v>1</v>
      </c>
      <c r="E4">
        <f>COUNTIFS(企业地址坐标!$B$5:$B$33,A4,企业地址坐标!$N$5:$N$33,"待核验")</f>
        <v>0</v>
      </c>
      <c r="F4">
        <f t="shared" ref="F4:F9" si="0">B4-G4</f>
        <v>3</v>
      </c>
      <c r="G4">
        <f>COUNTIFS(企业地址坐标!$B$5:$B$33,A4,企业地址坐标!$I$5:$I$33,"区域外")+COUNTIFS(企业地址坐标!$B$5:$B$33,A4,企业地址坐标!$I$5:$I$33,"区域外（临平区内）")+COUNTIFS(企业地址坐标!$B$5:$B$33,A4,企业地址坐标!$I$5:$I$33,"区域外（德清高新区洛舍片区）")</f>
        <v>0</v>
      </c>
      <c r="H4">
        <f>COUNTIFS(企业地址坐标!$B$5:$B$33,A4,企业地址坐标!$E$5:$E$33,"（小队计划）")</f>
        <v>0</v>
      </c>
    </row>
    <row r="5" spans="1:8">
      <c r="A5" t="s">
        <v>66</v>
      </c>
      <c r="B5">
        <f>COUNTIF(企业地址坐标!$B$5:$B$33,A5)</f>
        <v>4</v>
      </c>
      <c r="C5">
        <f>COUNTIFS(企业地址坐标!$B$5:$B$33,A5,企业地址坐标!$N$5:$N$33,"已核验")</f>
        <v>4</v>
      </c>
      <c r="D5">
        <f>COUNTIFS(企业地址坐标!$B$5:$B$33,A5,企业地址坐标!$N$5:$N$33,"部分核验")</f>
        <v>0</v>
      </c>
      <c r="E5">
        <f>COUNTIFS(企业地址坐标!$B$5:$B$33,A5,企业地址坐标!$N$5:$N$33,"待核验")</f>
        <v>0</v>
      </c>
      <c r="F5">
        <f t="shared" si="0"/>
        <v>2</v>
      </c>
      <c r="G5">
        <f>COUNTIFS(企业地址坐标!$B$5:$B$33,A5,企业地址坐标!$I$5:$I$33,"区域外")+COUNTIFS(企业地址坐标!$B$5:$B$33,A5,企业地址坐标!$I$5:$I$33,"区域外（临平区内）")+COUNTIFS(企业地址坐标!$B$5:$B$33,A5,企业地址坐标!$I$5:$I$33,"区域外（德清高新区洛舍片区）")</f>
        <v>2</v>
      </c>
      <c r="H5">
        <f>COUNTIFS(企业地址坐标!$B$5:$B$33,A5,企业地址坐标!$E$5:$E$33,"（小队计划）")</f>
        <v>2</v>
      </c>
    </row>
    <row r="6" spans="1:8">
      <c r="A6" t="s">
        <v>116</v>
      </c>
      <c r="B6">
        <f>COUNTIF(企业地址坐标!$B$5:$B$33,A6)</f>
        <v>3</v>
      </c>
      <c r="C6">
        <f>COUNTIFS(企业地址坐标!$B$5:$B$33,A6,企业地址坐标!$N$5:$N$33,"已核验")</f>
        <v>3</v>
      </c>
      <c r="D6">
        <f>COUNTIFS(企业地址坐标!$B$5:$B$33,A6,企业地址坐标!$N$5:$N$33,"部分核验")</f>
        <v>0</v>
      </c>
      <c r="E6">
        <f>COUNTIFS(企业地址坐标!$B$5:$B$33,A6,企业地址坐标!$N$5:$N$33,"待核验")</f>
        <v>0</v>
      </c>
      <c r="F6">
        <f t="shared" si="0"/>
        <v>2</v>
      </c>
      <c r="G6">
        <f>COUNTIFS(企业地址坐标!$B$5:$B$33,A6,企业地址坐标!$I$5:$I$33,"区域外")+COUNTIFS(企业地址坐标!$B$5:$B$33,A6,企业地址坐标!$I$5:$I$33,"区域外（临平区内）")+COUNTIFS(企业地址坐标!$B$5:$B$33,A6,企业地址坐标!$I$5:$I$33,"区域外（德清高新区洛舍片区）")</f>
        <v>1</v>
      </c>
      <c r="H6">
        <f>COUNTIFS(企业地址坐标!$B$5:$B$33,A6,企业地址坐标!$E$5:$E$33,"（小队计划）")</f>
        <v>0</v>
      </c>
    </row>
    <row r="7" spans="1:8">
      <c r="A7" t="s">
        <v>148</v>
      </c>
      <c r="B7">
        <f>COUNTIF(企业地址坐标!$B$5:$B$33,A7)</f>
        <v>7</v>
      </c>
      <c r="C7">
        <f>COUNTIFS(企业地址坐标!$B$5:$B$33,A7,企业地址坐标!$N$5:$N$33,"已核验")</f>
        <v>6</v>
      </c>
      <c r="D7">
        <f>COUNTIFS(企业地址坐标!$B$5:$B$33,A7,企业地址坐标!$N$5:$N$33,"部分核验")</f>
        <v>0</v>
      </c>
      <c r="E7">
        <f>COUNTIFS(企业地址坐标!$B$5:$B$33,A7,企业地址坐标!$N$5:$N$33,"待核验")</f>
        <v>1</v>
      </c>
      <c r="F7">
        <f t="shared" si="0"/>
        <v>6</v>
      </c>
      <c r="G7">
        <f>COUNTIFS(企业地址坐标!$B$5:$B$33,A7,企业地址坐标!$I$5:$I$33,"区域外")+COUNTIFS(企业地址坐标!$B$5:$B$33,A7,企业地址坐标!$I$5:$I$33,"区域外（临平区内）")+COUNTIFS(企业地址坐标!$B$5:$B$33,A7,企业地址坐标!$I$5:$I$33,"区域外（德清高新区洛舍片区）")</f>
        <v>1</v>
      </c>
      <c r="H7">
        <f>COUNTIFS(企业地址坐标!$B$5:$B$33,A7,企业地址坐标!$E$5:$E$33,"（小队计划）")</f>
        <v>2</v>
      </c>
    </row>
    <row r="8" spans="1:8">
      <c r="A8" t="s">
        <v>219</v>
      </c>
      <c r="B8">
        <f>COUNTIF(企业地址坐标!$B$5:$B$33,A8)</f>
        <v>5</v>
      </c>
      <c r="C8">
        <f>COUNTIFS(企业地址坐标!$B$5:$B$33,A8,企业地址坐标!$N$5:$N$33,"已核验")</f>
        <v>4</v>
      </c>
      <c r="D8">
        <f>COUNTIFS(企业地址坐标!$B$5:$B$33,A8,企业地址坐标!$N$5:$N$33,"部分核验")</f>
        <v>1</v>
      </c>
      <c r="E8">
        <f>COUNTIFS(企业地址坐标!$B$5:$B$33,A8,企业地址坐标!$N$5:$N$33,"待核验")</f>
        <v>0</v>
      </c>
      <c r="F8">
        <f t="shared" si="0"/>
        <v>5</v>
      </c>
      <c r="G8">
        <f>COUNTIFS(企业地址坐标!$B$5:$B$33,A8,企业地址坐标!$I$5:$I$33,"区域外")+COUNTIFS(企业地址坐标!$B$5:$B$33,A8,企业地址坐标!$I$5:$I$33,"区域外（临平区内）")+COUNTIFS(企业地址坐标!$B$5:$B$33,A8,企业地址坐标!$I$5:$I$33,"区域外（德清高新区洛舍片区）")</f>
        <v>0</v>
      </c>
      <c r="H8">
        <f>COUNTIFS(企业地址坐标!$B$5:$B$33,A8,企业地址坐标!$E$5:$E$33,"（小队计划）")</f>
        <v>3</v>
      </c>
    </row>
    <row r="9" spans="1:8">
      <c r="A9" t="s">
        <v>268</v>
      </c>
      <c r="B9">
        <f>COUNTIF(企业地址坐标!$B$5:$B$33,A9)</f>
        <v>7</v>
      </c>
      <c r="C9">
        <f>COUNTIFS(企业地址坐标!$B$5:$B$33,A9,企业地址坐标!$N$5:$N$33,"已核验")</f>
        <v>4</v>
      </c>
      <c r="D9">
        <f>COUNTIFS(企业地址坐标!$B$5:$B$33,A9,企业地址坐标!$N$5:$N$33,"部分核验")</f>
        <v>3</v>
      </c>
      <c r="E9">
        <f>COUNTIFS(企业地址坐标!$B$5:$B$33,A9,企业地址坐标!$N$5:$N$33,"待核验")</f>
        <v>0</v>
      </c>
      <c r="F9">
        <f t="shared" si="0"/>
        <v>7</v>
      </c>
      <c r="G9">
        <f>COUNTIFS(企业地址坐标!$B$5:$B$33,A9,企业地址坐标!$I$5:$I$33,"区域外")+COUNTIFS(企业地址坐标!$B$5:$B$33,A9,企业地址坐标!$I$5:$I$33,"区域外（临平区内）")+COUNTIFS(企业地址坐标!$B$5:$B$33,A9,企业地址坐标!$I$5:$I$33,"区域外（德清高新区洛舍片区）")</f>
        <v>0</v>
      </c>
      <c r="H9">
        <f>COUNTIFS(企业地址坐标!$B$5:$B$33,A9,企业地址坐标!$E$5:$E$33,"（小队计划）")</f>
        <v>5</v>
      </c>
    </row>
    <row r="11" ht="14.4" spans="1:8">
      <c r="A11" s="8" t="s">
        <v>341</v>
      </c>
      <c r="B11" s="8">
        <f t="shared" ref="B11:H11" si="1">SUM(B4:B9)</f>
        <v>29</v>
      </c>
      <c r="C11" s="8">
        <f t="shared" si="1"/>
        <v>23</v>
      </c>
      <c r="D11" s="8">
        <f t="shared" si="1"/>
        <v>5</v>
      </c>
      <c r="E11" s="8">
        <f t="shared" si="1"/>
        <v>1</v>
      </c>
      <c r="F11" s="8">
        <f t="shared" si="1"/>
        <v>25</v>
      </c>
      <c r="G11" s="8">
        <f t="shared" si="1"/>
        <v>4</v>
      </c>
      <c r="H11" s="8">
        <f t="shared" si="1"/>
        <v>12</v>
      </c>
    </row>
    <row r="13" ht="14.4" spans="1:8">
      <c r="A13" s="7" t="s">
        <v>342</v>
      </c>
      <c r="B13" s="7" t="s">
        <v>343</v>
      </c>
      <c r="C13" s="7" t="s">
        <v>344</v>
      </c>
      <c r="D13" s="7" t="s">
        <v>345</v>
      </c>
    </row>
    <row r="14" ht="14.4" spans="1:8">
      <c r="A14" s="9" t="s">
        <v>346</v>
      </c>
      <c r="B14" s="9">
        <f>SUM(G4:G9)</f>
        <v>4</v>
      </c>
      <c r="C14" s="9" t="s">
        <v>347</v>
      </c>
      <c r="D14" s="10" t="s">
        <v>348</v>
      </c>
    </row>
    <row r="15" ht="14.4" spans="1:8">
      <c r="A15" s="9" t="s">
        <v>349</v>
      </c>
      <c r="B15" s="9">
        <f>COUNTIF(企业地址坐标!$N$5:$N$33,"待核验")+COUNTIF(企业地址坐标!$N$5:$N$33,"部分核验")</f>
        <v>6</v>
      </c>
      <c r="C15" s="9" t="s">
        <v>350</v>
      </c>
      <c r="D15" s="10" t="s">
        <v>348</v>
      </c>
    </row>
    <row r="16" ht="14.4" spans="1:8">
      <c r="A16" s="9" t="s">
        <v>351</v>
      </c>
      <c r="B16" s="9">
        <v>1</v>
      </c>
      <c r="C16" s="9" t="s">
        <v>352</v>
      </c>
      <c r="D16" s="11" t="s">
        <v>353</v>
      </c>
    </row>
  </sheetData>
  <mergeCells count="1">
    <mergeCell ref="A1:H1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:F1"/>
    </sheetView>
  </sheetViews>
  <sheetFormatPr defaultColWidth="9" defaultRowHeight="13.8" outlineLevelCol="5"/>
  <cols>
    <col min="1" max="1" width="24" customWidth="1"/>
    <col min="2" max="2" width="105" customWidth="1"/>
  </cols>
  <sheetData>
    <row r="1" ht="30" customHeight="1" spans="1:6">
      <c r="A1" s="1" t="s">
        <v>354</v>
      </c>
      <c r="B1" s="1"/>
      <c r="C1" s="1"/>
      <c r="D1" s="1"/>
      <c r="E1" s="1"/>
      <c r="F1" s="1"/>
    </row>
    <row r="3" ht="14.4" spans="1:6">
      <c r="A3" s="2" t="s">
        <v>355</v>
      </c>
      <c r="B3" s="2" t="s">
        <v>356</v>
      </c>
    </row>
    <row r="4" spans="1:6">
      <c r="A4" s="3" t="s">
        <v>357</v>
      </c>
      <c r="B4" s="3" t="s">
        <v>358</v>
      </c>
    </row>
    <row r="5" spans="1:6">
      <c r="A5" s="3" t="s">
        <v>359</v>
      </c>
      <c r="B5" s="3" t="s">
        <v>360</v>
      </c>
    </row>
    <row r="6" spans="1:6">
      <c r="A6" s="3" t="s">
        <v>361</v>
      </c>
      <c r="B6" s="3" t="s">
        <v>362</v>
      </c>
    </row>
    <row r="7" spans="1:6">
      <c r="A7" s="3" t="s">
        <v>363</v>
      </c>
      <c r="B7" s="3" t="s">
        <v>364</v>
      </c>
    </row>
    <row r="8" spans="1:6">
      <c r="A8" s="3" t="s">
        <v>365</v>
      </c>
      <c r="B8" s="3" t="s">
        <v>366</v>
      </c>
    </row>
    <row r="9" spans="1:6">
      <c r="A9" s="3" t="s">
        <v>367</v>
      </c>
      <c r="B9" s="3" t="s">
        <v>368</v>
      </c>
    </row>
    <row r="10" spans="1:6">
      <c r="A10" s="3" t="s">
        <v>10</v>
      </c>
      <c r="B10" s="3" t="s">
        <v>369</v>
      </c>
    </row>
    <row r="11" spans="1:6">
      <c r="A11" s="3" t="s">
        <v>370</v>
      </c>
      <c r="B11" s="3" t="s">
        <v>371</v>
      </c>
    </row>
    <row r="12" spans="1:6">
      <c r="A12" s="3" t="s">
        <v>372</v>
      </c>
      <c r="B12" s="3" t="s">
        <v>373</v>
      </c>
    </row>
    <row r="13" spans="1:6">
      <c r="A13" s="3" t="s">
        <v>374</v>
      </c>
      <c r="B13" s="3" t="s">
        <v>375</v>
      </c>
    </row>
    <row r="14" spans="1:6">
      <c r="A14" s="3" t="s">
        <v>376</v>
      </c>
      <c r="B14" s="3" t="s">
        <v>377</v>
      </c>
    </row>
    <row r="15" spans="1:6">
      <c r="A15" s="3" t="s">
        <v>378</v>
      </c>
      <c r="B15" s="3" t="s">
        <v>379</v>
      </c>
    </row>
    <row r="16" ht="26.6" spans="1:6">
      <c r="A16" s="4" t="s">
        <v>20</v>
      </c>
      <c r="B16" s="4" t="s">
        <v>380</v>
      </c>
    </row>
    <row r="18" ht="14.4" spans="1:6">
      <c r="A18" s="5" t="s">
        <v>381</v>
      </c>
      <c r="B18" s="5"/>
      <c r="C18" s="5"/>
      <c r="D18" s="5"/>
      <c r="E18" s="5"/>
      <c r="F18" s="5"/>
    </row>
    <row r="19" ht="25" customHeight="1" spans="1:6">
      <c r="A19" s="6" t="s">
        <v>382</v>
      </c>
      <c r="B19" s="6"/>
      <c r="C19" s="6"/>
      <c r="D19" s="6"/>
      <c r="E19" s="6"/>
      <c r="F19" s="6"/>
    </row>
    <row r="20" ht="25" customHeight="1" spans="1:6">
      <c r="A20" s="6"/>
      <c r="B20" s="6"/>
      <c r="C20" s="6"/>
      <c r="D20" s="6"/>
      <c r="E20" s="6"/>
      <c r="F20" s="6"/>
    </row>
    <row r="21" ht="25" customHeight="1" spans="1:6">
      <c r="A21" s="6"/>
      <c r="B21" s="6"/>
      <c r="C21" s="6"/>
      <c r="D21" s="6"/>
      <c r="E21" s="6"/>
      <c r="F21" s="6"/>
    </row>
  </sheetData>
  <mergeCells count="3">
    <mergeCell ref="A1:F1"/>
    <mergeCell ref="A18:F18"/>
    <mergeCell ref="A19:F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企业地址坐标</vt:lpstr>
      <vt:lpstr>小镇汇总</vt:lpstr>
      <vt:lpstr>核验说明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朱明炜</cp:lastModifiedBy>
  <dcterms:created xsi:type="dcterms:W3CDTF">2026-07-12T01:04:00Z</dcterms:created>
  <dcterms:modified xsi:type="dcterms:W3CDTF">2026-07-12T01:24:11Z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578EDB3715DC46EEAD8D1CB6853E4A4B_12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